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sultas &amp; Exames" sheetId="2" state="visible" r:id="rId2"/>
    <sheet xmlns:r="http://schemas.openxmlformats.org/officeDocument/2006/relationships" name="Planejamento de Chá" sheetId="3" state="visible" r:id="rId3"/>
    <sheet xmlns:r="http://schemas.openxmlformats.org/officeDocument/2006/relationships" name="Enxoval Inteligente" sheetId="4" state="visible" r:id="rId4"/>
    <sheet xmlns:r="http://schemas.openxmlformats.org/officeDocument/2006/relationships" name="Mala Maternidade" sheetId="5" state="visible" r:id="rId5"/>
    <sheet xmlns:r="http://schemas.openxmlformats.org/officeDocument/2006/relationships" name="Finanças" sheetId="6" state="visible" r:id="rId6"/>
    <sheet xmlns:r="http://schemas.openxmlformats.org/officeDocument/2006/relationships" name="Planner &amp; Decisões" sheetId="7" state="visible" r:id="rId7"/>
    <sheet xmlns:r="http://schemas.openxmlformats.org/officeDocument/2006/relationships" name="_Engin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&quot;R$&quot; #,##0.00"/>
    <numFmt numFmtId="166" formatCode="yyyy-mm-dd"/>
    <numFmt numFmtId="167" formatCode="0% &quot;completo&quot;"/>
    <numFmt numFmtId="168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4A3F35"/>
      <sz val="16"/>
    </font>
    <font>
      <name val="Arial"/>
      <i val="1"/>
      <color rgb="008C7F73"/>
      <sz val="10"/>
    </font>
    <font>
      <name val="Arial"/>
      <b val="1"/>
      <color rgb="00FFFFFF"/>
      <sz val="9"/>
    </font>
    <font>
      <name val="Arial"/>
      <b val="1"/>
      <color rgb="004A3F35"/>
      <sz val="15"/>
    </font>
    <font>
      <name val="Arial"/>
      <b val="1"/>
      <color rgb="00FBF7F1"/>
      <sz val="10"/>
    </font>
    <font>
      <name val="Arial"/>
      <color rgb="004A3F35"/>
      <sz val="10"/>
    </font>
    <font>
      <name val="Arial"/>
      <b val="1"/>
      <color rgb="00FFFFFF"/>
      <sz val="11"/>
    </font>
    <font>
      <name val="Arial"/>
      <i val="1"/>
      <color rgb="008C7F73"/>
      <sz val="9"/>
    </font>
    <font>
      <name val="Arial"/>
      <b val="1"/>
      <i val="1"/>
      <color rgb="008C7F73"/>
      <sz val="9"/>
    </font>
    <font>
      <name val="Arial"/>
      <b val="1"/>
      <color rgb="004A3F35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8C9A7B"/>
      </patternFill>
    </fill>
    <fill>
      <patternFill patternType="solid">
        <fgColor rgb="00FBF7F1"/>
      </patternFill>
    </fill>
    <fill>
      <patternFill patternType="solid">
        <fgColor rgb="004A3F35"/>
      </patternFill>
    </fill>
    <fill>
      <patternFill patternType="solid">
        <fgColor rgb="00FFFFFF"/>
      </patternFill>
    </fill>
    <fill>
      <patternFill patternType="solid">
        <fgColor rgb="00EDE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9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1" fontId="4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center" vertical="center"/>
    </xf>
    <xf numFmtId="0" fontId="6" fillId="3" borderId="0" pivotButton="0" quotePrefix="0" xfId="0"/>
    <xf numFmtId="165" fontId="6" fillId="3" borderId="0" pivotButton="0" quotePrefix="0" xfId="0"/>
    <xf numFmtId="0" fontId="6" fillId="5" borderId="0" pivotButton="0" quotePrefix="0" xfId="0"/>
    <xf numFmtId="165" fontId="6" fillId="5" borderId="0" pivotButton="0" quotePrefix="0" xfId="0"/>
    <xf numFmtId="164" fontId="6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/>
    </xf>
    <xf numFmtId="164" fontId="6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165" fontId="6" fillId="3" borderId="0" applyAlignment="1" pivotButton="0" quotePrefix="0" xfId="0">
      <alignment horizontal="center"/>
    </xf>
    <xf numFmtId="1" fontId="6" fillId="3" borderId="0" applyAlignment="1" pivotButton="0" quotePrefix="0" xfId="0">
      <alignment horizontal="center"/>
    </xf>
    <xf numFmtId="9" fontId="6" fillId="3" borderId="0" applyAlignment="1" pivotButton="0" quotePrefix="0" xfId="0">
      <alignment horizontal="center"/>
    </xf>
    <xf numFmtId="1" fontId="6" fillId="5" borderId="0" applyAlignment="1" pivotButton="0" quotePrefix="0" xfId="0">
      <alignment horizontal="center"/>
    </xf>
    <xf numFmtId="9" fontId="6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left" vertical="center" indent="1"/>
    </xf>
    <xf numFmtId="167" fontId="9" fillId="6" borderId="0" applyAlignment="1" pivotButton="0" quotePrefix="0" xfId="0">
      <alignment horizontal="right" vertical="center"/>
    </xf>
    <xf numFmtId="9" fontId="6" fillId="5" borderId="0" pivotButton="0" quotePrefix="0" xfId="0"/>
    <xf numFmtId="9" fontId="6" fillId="3" borderId="0" pivotButton="0" quotePrefix="0" xfId="0"/>
    <xf numFmtId="0" fontId="10" fillId="0" borderId="0" pivotButton="0" quotePrefix="0" xfId="0"/>
    <xf numFmtId="164" fontId="10" fillId="3" borderId="0" pivotButton="0" quotePrefix="0" xfId="0"/>
    <xf numFmtId="168" fontId="6" fillId="3" borderId="0" applyAlignment="1" pivotButton="0" quotePrefix="0" xfId="0">
      <alignment horizontal="center"/>
    </xf>
    <xf numFmtId="168" fontId="6" fillId="5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5C6B4D"/>
      </font>
      <fill>
        <patternFill patternType="solid">
          <fgColor rgb="00E8EDE3"/>
        </patternFill>
      </fill>
    </dxf>
    <dxf>
      <font>
        <name val="Arial"/>
        <color rgb="008C5A1F"/>
      </font>
      <fill>
        <patternFill patternType="solid">
          <fgColor rgb="00F7E4C2"/>
        </patternFill>
      </fill>
    </dxf>
    <dxf>
      <font>
        <name val="Arial"/>
        <color rgb="008C7F73"/>
      </font>
      <fill>
        <patternFill patternType="solid">
          <fgColor rgb="00EDE7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'Dashboard'!$B$15:$B$19</f>
            </numRef>
          </cat>
          <val>
            <numRef>
              <f>'Dashboard'!$C$15:$C$19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A3F35"/>
    <outlinePr summaryBelow="1" summaryRight="1"/>
    <pageSetUpPr/>
  </sheetPr>
  <dimension ref="B1:N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4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4" customWidth="1" min="10" max="10"/>
    <col width="16" customWidth="1" min="11" max="11"/>
    <col width="16" customWidth="1" min="12" max="12"/>
    <col width="4" customWidth="1" min="13" max="13"/>
    <col width="16" customWidth="1" min="14" max="14"/>
  </cols>
  <sheetData>
    <row r="1" ht="26" customHeight="1">
      <c r="B1" s="1" t="inlineStr">
        <is>
          <t>Dashboard</t>
        </is>
      </c>
    </row>
    <row r="2" ht="16" customHeight="1">
      <c r="B2" s="2" t="inlineStr">
        <is>
          <t>Painel geral da gestação — só leitura, alimentado pelas outras abas.</t>
        </is>
      </c>
    </row>
    <row r="3" ht="6" customHeight="1"/>
    <row r="4">
      <c r="B4" s="3" t="inlineStr">
        <is>
          <t>SEMANA GESTACIONAL</t>
        </is>
      </c>
      <c r="E4" s="3" t="inlineStr">
        <is>
          <t>TRIMESTRE</t>
        </is>
      </c>
      <c r="H4" s="3" t="inlineStr">
        <is>
          <t>DPP</t>
        </is>
      </c>
    </row>
    <row r="5">
      <c r="B5" s="4">
        <f>ROUNDDOWN((TODAY()-('_Engine'!B14-280))/7,0)&amp;"ª semana"</f>
        <v/>
      </c>
      <c r="E5" s="4">
        <f>IF(ROUNDDOWN((TODAY()-('_Engine'!B14-280))/7,0)&lt;=13,"1º trimestre",IF(ROUNDDOWN((TODAY()-('_Engine'!B14-280))/7,0)&lt;=27,"2º trimestre","3º trimestre"))</f>
        <v/>
      </c>
      <c r="H5" s="5">
        <f>'_Engine'!B14</f>
        <v/>
      </c>
    </row>
    <row r="7">
      <c r="B7" s="3" t="inlineStr">
        <is>
          <t>% ENXOVAL PRONTO</t>
        </is>
      </c>
      <c r="E7" s="3" t="inlineStr">
        <is>
          <t>RESTANTE DO ORÇAMENTO ENXOVAL</t>
        </is>
      </c>
      <c r="H7" s="3" t="inlineStr">
        <is>
          <t>CONFIRMADOS NO CHÁ</t>
        </is>
      </c>
      <c r="K7" s="3" t="inlineStr">
        <is>
          <t>% MALA PRONTA</t>
        </is>
      </c>
    </row>
    <row r="8">
      <c r="B8" s="6">
        <f>'_Engine'!B2</f>
        <v/>
      </c>
      <c r="E8" s="7">
        <f>('_Engine'!B3-'_Engine'!B4)</f>
        <v/>
      </c>
      <c r="H8" s="8">
        <f>'_Engine'!B6</f>
        <v/>
      </c>
      <c r="K8" s="6">
        <f>'_Engine'!B12</f>
        <v/>
      </c>
    </row>
    <row r="10">
      <c r="B10" s="3" t="inlineStr">
        <is>
          <t>PRÓXIMA CONSULTA</t>
        </is>
      </c>
      <c r="E10" s="3" t="inlineStr">
        <is>
          <t>ORÇAMENTO TOTAL</t>
        </is>
      </c>
      <c r="H10" s="3" t="inlineStr">
        <is>
          <t>GASTO TOTAL</t>
        </is>
      </c>
      <c r="K10" s="3" t="inlineStr">
        <is>
          <t>SALDO DISPONÍVEL</t>
        </is>
      </c>
    </row>
    <row r="11">
      <c r="B11" s="5">
        <f>'_Engine'!B10</f>
        <v/>
      </c>
      <c r="E11" s="7">
        <f>'Finanças'!B5</f>
        <v/>
      </c>
      <c r="H11" s="7">
        <f>'Finanças'!F5</f>
        <v/>
      </c>
      <c r="K11" s="7">
        <f>'Finanças'!J5</f>
        <v/>
      </c>
    </row>
    <row r="13" ht="20" customHeight="1">
      <c r="B13" s="9" t="inlineStr">
        <is>
          <t>Gastos por categoria</t>
        </is>
      </c>
    </row>
    <row r="14" ht="20" customHeight="1">
      <c r="B14" s="10" t="inlineStr">
        <is>
          <t>Categoria</t>
        </is>
      </c>
      <c r="C14" s="10" t="inlineStr">
        <is>
          <t>Gasto real</t>
        </is>
      </c>
    </row>
    <row r="15">
      <c r="B15" s="11">
        <f>'Finanças'!A8</f>
        <v/>
      </c>
      <c r="C15" s="12">
        <f>'Finanças'!C8</f>
        <v/>
      </c>
    </row>
    <row r="16">
      <c r="B16" s="13">
        <f>'Finanças'!A9</f>
        <v/>
      </c>
      <c r="C16" s="14">
        <f>'Finanças'!C9</f>
        <v/>
      </c>
    </row>
    <row r="17">
      <c r="B17" s="11">
        <f>'Finanças'!A10</f>
        <v/>
      </c>
      <c r="C17" s="12">
        <f>'Finanças'!C10</f>
        <v/>
      </c>
    </row>
    <row r="18">
      <c r="B18" s="13">
        <f>'Finanças'!A11</f>
        <v/>
      </c>
      <c r="C18" s="14">
        <f>'Finanças'!C11</f>
        <v/>
      </c>
    </row>
    <row r="19">
      <c r="B19" s="11">
        <f>'Finanças'!A12</f>
        <v/>
      </c>
      <c r="C19" s="12">
        <f>'Finanças'!C12</f>
        <v/>
      </c>
    </row>
    <row r="21" ht="20" customHeight="1">
      <c r="B21" s="9" t="inlineStr">
        <is>
          <t>Resumo de pendências</t>
        </is>
      </c>
    </row>
    <row r="22" ht="20" customHeight="1">
      <c r="B22" s="10" t="inlineStr">
        <is>
          <t>Área</t>
        </is>
      </c>
      <c r="C22" s="10" t="inlineStr">
        <is>
          <t>Pendências</t>
        </is>
      </c>
    </row>
    <row r="23">
      <c r="B23" s="11" t="inlineStr">
        <is>
          <t>Enxoval — itens faltando</t>
        </is>
      </c>
      <c r="C23" s="11">
        <f>'_Engine'!B5</f>
        <v/>
      </c>
    </row>
    <row r="24">
      <c r="B24" s="13" t="inlineStr">
        <is>
          <t>Chá — tarefas pendentes</t>
        </is>
      </c>
      <c r="C24" s="13">
        <f>'_Engine'!B9</f>
        <v/>
      </c>
    </row>
    <row r="25">
      <c r="B25" s="11" t="inlineStr">
        <is>
          <t>Mala — itens faltando</t>
        </is>
      </c>
      <c r="C25" s="11">
        <f>'_Engine'!B13</f>
        <v/>
      </c>
    </row>
  </sheetData>
  <mergeCells count="26">
    <mergeCell ref="B7:C7"/>
    <mergeCell ref="H10:I10"/>
    <mergeCell ref="E5:F5"/>
    <mergeCell ref="H4:I4"/>
    <mergeCell ref="B13:G13"/>
    <mergeCell ref="E8:F8"/>
    <mergeCell ref="E4:F4"/>
    <mergeCell ref="K11:L11"/>
    <mergeCell ref="B11:C11"/>
    <mergeCell ref="E10:F10"/>
    <mergeCell ref="B8:C8"/>
    <mergeCell ref="H11:I11"/>
    <mergeCell ref="K8:L8"/>
    <mergeCell ref="H7:I7"/>
    <mergeCell ref="B10:C10"/>
    <mergeCell ref="E11:F11"/>
    <mergeCell ref="B2:N2"/>
    <mergeCell ref="K7:L7"/>
    <mergeCell ref="B1:N1"/>
    <mergeCell ref="E7:F7"/>
    <mergeCell ref="B5:C5"/>
    <mergeCell ref="K10:L10"/>
    <mergeCell ref="H5:I5"/>
    <mergeCell ref="H8:I8"/>
    <mergeCell ref="B21:G21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C9A7B"/>
    <outlinePr summaryBelow="1" summaryRight="1"/>
    <pageSetUpPr/>
  </sheetPr>
  <dimension ref="A1:N1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2" customWidth="1" min="4" max="4"/>
    <col width="14" customWidth="1" min="5" max="5"/>
    <col width="26" customWidth="1" min="6" max="6"/>
  </cols>
  <sheetData>
    <row r="1" ht="26" customHeight="1">
      <c r="B1" s="1" t="inlineStr">
        <is>
          <t>Consultas &amp; Exames</t>
        </is>
      </c>
    </row>
    <row r="2" ht="16" customHeight="1">
      <c r="B2" s="2" t="inlineStr">
        <is>
          <t>Histórico e próximos agendamentos do pré-natal.</t>
        </is>
      </c>
    </row>
    <row r="3" ht="6" customHeight="1"/>
    <row r="4">
      <c r="A4" s="3" t="inlineStr">
        <is>
          <t>PRÓXIMA CONSULTA</t>
        </is>
      </c>
      <c r="C4" s="3" t="inlineStr">
        <is>
          <t>CONSULTAS AGENDADAS</t>
        </is>
      </c>
      <c r="E4" s="3" t="inlineStr">
        <is>
          <t>GASTO REALIZADO</t>
        </is>
      </c>
    </row>
    <row r="5">
      <c r="A5" s="5">
        <f>IFERROR(MINIFS(A8:A200,A8:A200,"&gt;="&amp;TODAY(),E8:E200,"Agendado"),"-")</f>
        <v/>
      </c>
      <c r="C5" s="8">
        <f>COUNTIF(E8:E200,"Agendado")</f>
        <v/>
      </c>
      <c r="E5" s="7">
        <f>SUMIFS(D8:D200,E8:E200,"Realizado")</f>
        <v/>
      </c>
    </row>
    <row r="7" ht="20" customHeight="1">
      <c r="A7" s="10" t="inlineStr">
        <is>
          <t>Data</t>
        </is>
      </c>
      <c r="B7" s="10" t="inlineStr">
        <is>
          <t>Tipo</t>
        </is>
      </c>
      <c r="C7" s="10" t="inlineStr">
        <is>
          <t>Profissional / Local</t>
        </is>
      </c>
      <c r="D7" s="10" t="inlineStr">
        <is>
          <t>Custo</t>
        </is>
      </c>
      <c r="E7" s="10" t="inlineStr">
        <is>
          <t>Status</t>
        </is>
      </c>
      <c r="F7" s="10" t="inlineStr">
        <is>
          <t>Observações</t>
        </is>
      </c>
    </row>
    <row r="8">
      <c r="A8" s="15" t="n">
        <v>46122</v>
      </c>
      <c r="B8" s="16" t="inlineStr">
        <is>
          <t>Consulta</t>
        </is>
      </c>
      <c r="C8" s="13" t="inlineStr">
        <is>
          <t>Dra. Ana Lima</t>
        </is>
      </c>
      <c r="D8" s="17" t="n">
        <v>250</v>
      </c>
      <c r="E8" s="16" t="inlineStr">
        <is>
          <t>Realizado</t>
        </is>
      </c>
      <c r="F8" s="13" t="inlineStr">
        <is>
          <t>Pré-natal mensal</t>
        </is>
      </c>
    </row>
    <row r="9">
      <c r="A9" s="18" t="n">
        <v>46150</v>
      </c>
      <c r="B9" s="19" t="inlineStr">
        <is>
          <t>Exame</t>
        </is>
      </c>
      <c r="C9" s="11" t="inlineStr">
        <is>
          <t>Lab Vida — USG morfológico</t>
        </is>
      </c>
      <c r="D9" s="20" t="n">
        <v>380</v>
      </c>
      <c r="E9" s="19" t="inlineStr">
        <is>
          <t>Realizado</t>
        </is>
      </c>
      <c r="F9" s="11" t="inlineStr"/>
    </row>
    <row r="10">
      <c r="A10" s="15" t="n">
        <v>46178</v>
      </c>
      <c r="B10" s="16" t="inlineStr">
        <is>
          <t>Consulta</t>
        </is>
      </c>
      <c r="C10" s="13" t="inlineStr">
        <is>
          <t>Dra. Ana Lima</t>
        </is>
      </c>
      <c r="D10" s="17" t="n">
        <v>250</v>
      </c>
      <c r="E10" s="16" t="inlineStr">
        <is>
          <t>Realizado</t>
        </is>
      </c>
      <c r="F10" s="13" t="inlineStr"/>
    </row>
    <row r="11">
      <c r="A11" s="18" t="n">
        <v>46206</v>
      </c>
      <c r="B11" s="19" t="inlineStr">
        <is>
          <t>Consulta</t>
        </is>
      </c>
      <c r="C11" s="11" t="inlineStr">
        <is>
          <t>Dra. Ana Lima</t>
        </is>
      </c>
      <c r="D11" s="20" t="n">
        <v>250</v>
      </c>
      <c r="E11" s="19" t="inlineStr">
        <is>
          <t>Agendado</t>
        </is>
      </c>
      <c r="F11" s="11" t="inlineStr"/>
    </row>
    <row r="12">
      <c r="A12" s="15" t="n">
        <v>46223</v>
      </c>
      <c r="B12" s="16" t="inlineStr">
        <is>
          <t>Exame</t>
        </is>
      </c>
      <c r="C12" s="13" t="inlineStr">
        <is>
          <t>Lab Vida — glicemia</t>
        </is>
      </c>
      <c r="D12" s="17" t="n">
        <v>120</v>
      </c>
      <c r="E12" s="16" t="inlineStr">
        <is>
          <t>Agendado</t>
        </is>
      </c>
      <c r="F12" s="13" t="inlineStr"/>
    </row>
    <row r="13">
      <c r="A13" s="18" t="n">
        <v>46241</v>
      </c>
      <c r="B13" s="19" t="inlineStr">
        <is>
          <t>Consulta</t>
        </is>
      </c>
      <c r="C13" s="11" t="inlineStr">
        <is>
          <t>Dra. Ana Lima</t>
        </is>
      </c>
      <c r="D13" s="20" t="n">
        <v>250</v>
      </c>
      <c r="E13" s="19" t="inlineStr">
        <is>
          <t>Agendado</t>
        </is>
      </c>
      <c r="F13" s="11" t="inlineStr"/>
    </row>
    <row r="14">
      <c r="A14" s="15" t="n">
        <v>46269</v>
      </c>
      <c r="B14" s="16" t="inlineStr">
        <is>
          <t>Consulta</t>
        </is>
      </c>
      <c r="C14" s="13" t="inlineStr">
        <is>
          <t>Dra. Ana Lima</t>
        </is>
      </c>
      <c r="D14" s="17" t="n">
        <v>250</v>
      </c>
      <c r="E14" s="16" t="inlineStr">
        <is>
          <t>Agendado</t>
        </is>
      </c>
      <c r="F14" s="13" t="inlineStr"/>
    </row>
  </sheetData>
  <mergeCells count="8">
    <mergeCell ref="A4:B4"/>
    <mergeCell ref="E4:F4"/>
    <mergeCell ref="B1:N1"/>
    <mergeCell ref="C5:D5"/>
    <mergeCell ref="A5:B5"/>
    <mergeCell ref="E5:F5"/>
    <mergeCell ref="B2:N2"/>
    <mergeCell ref="C4:D4"/>
  </mergeCells>
  <conditionalFormatting sqref="E8:E14">
    <cfRule type="expression" priority="1" dxfId="0">
      <formula>$E8="Realizado"</formula>
    </cfRule>
    <cfRule type="expression" priority="2" dxfId="1">
      <formula>$E8="Agendado"</formula>
    </cfRule>
  </conditionalFormatting>
  <dataValidations count="2">
    <dataValidation sqref="B8:B200" showDropDown="0" showInputMessage="0" showErrorMessage="0" allowBlank="1" type="list">
      <formula1>"Consulta,Exame"</formula1>
    </dataValidation>
    <dataValidation sqref="E8:E200" showDropDown="0" showInputMessage="0" showErrorMessage="0" allowBlank="1" type="list">
      <formula1>"Agendado,Realizado"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7B5C"/>
    <outlinePr summaryBelow="1" summaryRight="1"/>
    <pageSetUpPr/>
  </sheetPr>
  <dimension ref="A1:N3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20" customWidth="1" min="5" max="5"/>
  </cols>
  <sheetData>
    <row r="1" ht="26" customHeight="1">
      <c r="B1" s="1" t="inlineStr">
        <is>
          <t>Planejamento de Chá</t>
        </is>
      </c>
    </row>
    <row r="2" ht="16" customHeight="1">
      <c r="B2" s="2" t="inlineStr">
        <is>
          <t>Convidados, tarefas e custos do chá de bebê.</t>
        </is>
      </c>
    </row>
    <row r="3" ht="6" customHeight="1"/>
    <row r="4">
      <c r="A4" s="3" t="inlineStr">
        <is>
          <t>CONFIRMADOS (CABEÇAS)</t>
        </is>
      </c>
      <c r="C4" s="3" t="inlineStr">
        <is>
          <t>CUSTO PREVISTO</t>
        </is>
      </c>
      <c r="E4" s="3" t="inlineStr">
        <is>
          <t>CUSTO REAL</t>
        </is>
      </c>
    </row>
    <row r="5">
      <c r="A5" s="8">
        <f>SUMPRODUCT((B9:B16="Confirmado")*(1+C9:C16))</f>
        <v/>
      </c>
      <c r="C5" s="7">
        <f>SUM(C27:C34)</f>
        <v/>
      </c>
      <c r="E5" s="7">
        <f>SUM(D27:D34)</f>
        <v/>
      </c>
    </row>
    <row r="7" ht="20" customHeight="1">
      <c r="B7" s="9" t="inlineStr">
        <is>
          <t>Convidados</t>
        </is>
      </c>
    </row>
    <row r="8" ht="20" customHeight="1">
      <c r="A8" s="10" t="inlineStr">
        <is>
          <t>Nome</t>
        </is>
      </c>
      <c r="B8" s="10" t="inlineStr">
        <is>
          <t>Status RSVP</t>
        </is>
      </c>
      <c r="C8" s="10" t="inlineStr">
        <is>
          <t>Acompanhantes</t>
        </is>
      </c>
    </row>
    <row r="9">
      <c r="A9" s="11" t="inlineStr">
        <is>
          <t>Mariana Souza</t>
        </is>
      </c>
      <c r="B9" s="19" t="inlineStr">
        <is>
          <t>Confirmado</t>
        </is>
      </c>
      <c r="C9" s="19" t="n">
        <v>1</v>
      </c>
      <c r="D9" s="11" t="n"/>
      <c r="E9" s="11" t="n"/>
    </row>
    <row r="10">
      <c r="A10" s="13" t="inlineStr">
        <is>
          <t>Carlos Eduardo</t>
        </is>
      </c>
      <c r="B10" s="16" t="inlineStr">
        <is>
          <t>Confirmado</t>
        </is>
      </c>
      <c r="C10" s="16" t="n">
        <v>0</v>
      </c>
      <c r="D10" s="13" t="n"/>
      <c r="E10" s="13" t="n"/>
    </row>
    <row r="11">
      <c r="A11" s="11" t="inlineStr">
        <is>
          <t>Fernanda Alves</t>
        </is>
      </c>
      <c r="B11" s="19" t="inlineStr">
        <is>
          <t>Talvez</t>
        </is>
      </c>
      <c r="C11" s="19" t="n">
        <v>0</v>
      </c>
      <c r="D11" s="11" t="n"/>
      <c r="E11" s="11" t="n"/>
    </row>
    <row r="12">
      <c r="A12" s="13" t="inlineStr">
        <is>
          <t>Patrícia Gomes</t>
        </is>
      </c>
      <c r="B12" s="16" t="inlineStr">
        <is>
          <t>Confirmado</t>
        </is>
      </c>
      <c r="C12" s="16" t="n">
        <v>2</v>
      </c>
      <c r="D12" s="13" t="n"/>
      <c r="E12" s="13" t="n"/>
    </row>
    <row r="13">
      <c r="A13" s="11" t="inlineStr">
        <is>
          <t>Roberto Dias</t>
        </is>
      </c>
      <c r="B13" s="19" t="inlineStr">
        <is>
          <t>Não vai</t>
        </is>
      </c>
      <c r="C13" s="19" t="n">
        <v>0</v>
      </c>
      <c r="D13" s="11" t="n"/>
      <c r="E13" s="11" t="n"/>
    </row>
    <row r="14">
      <c r="A14" s="13" t="inlineStr">
        <is>
          <t>Juliana Castro</t>
        </is>
      </c>
      <c r="B14" s="16" t="inlineStr">
        <is>
          <t>Confirmado</t>
        </is>
      </c>
      <c r="C14" s="16" t="n">
        <v>1</v>
      </c>
      <c r="D14" s="13" t="n"/>
      <c r="E14" s="13" t="n"/>
    </row>
    <row r="15">
      <c r="A15" s="11" t="inlineStr">
        <is>
          <t>Lucas Pereira</t>
        </is>
      </c>
      <c r="B15" s="19" t="inlineStr">
        <is>
          <t>Talvez</t>
        </is>
      </c>
      <c r="C15" s="19" t="n">
        <v>0</v>
      </c>
      <c r="D15" s="11" t="n"/>
      <c r="E15" s="11" t="n"/>
    </row>
    <row r="16">
      <c r="A16" s="13" t="inlineStr">
        <is>
          <t>Beatriz Nunes</t>
        </is>
      </c>
      <c r="B16" s="16" t="inlineStr">
        <is>
          <t>Confirmado</t>
        </is>
      </c>
      <c r="C16" s="16" t="n">
        <v>0</v>
      </c>
      <c r="D16" s="13" t="n"/>
      <c r="E16" s="13" t="n"/>
    </row>
    <row r="18" ht="20" customHeight="1">
      <c r="B18" s="9" t="inlineStr">
        <is>
          <t>Tarefas</t>
        </is>
      </c>
    </row>
    <row r="19" ht="20" customHeight="1">
      <c r="A19" s="10" t="inlineStr">
        <is>
          <t>Tarefa</t>
        </is>
      </c>
      <c r="B19" s="10" t="inlineStr">
        <is>
          <t>Responsável</t>
        </is>
      </c>
      <c r="C19" s="10" t="inlineStr">
        <is>
          <t>Prazo</t>
        </is>
      </c>
      <c r="D19" s="10" t="inlineStr">
        <is>
          <t>Status</t>
        </is>
      </c>
    </row>
    <row r="20">
      <c r="A20" s="13" t="inlineStr">
        <is>
          <t>Reservar espaço</t>
        </is>
      </c>
      <c r="B20" s="13" t="inlineStr">
        <is>
          <t>Marido</t>
        </is>
      </c>
      <c r="C20" s="15" t="n">
        <v>46213</v>
      </c>
      <c r="D20" s="16" t="inlineStr">
        <is>
          <t>Concluída</t>
        </is>
      </c>
      <c r="E20" s="13" t="n"/>
    </row>
    <row r="21">
      <c r="A21" s="11" t="inlineStr">
        <is>
          <t>Contratar buffet</t>
        </is>
      </c>
      <c r="B21" s="11" t="inlineStr">
        <is>
          <t>Mãe</t>
        </is>
      </c>
      <c r="C21" s="18" t="n">
        <v>46223</v>
      </c>
      <c r="D21" s="19" t="inlineStr">
        <is>
          <t>Em andamento</t>
        </is>
      </c>
      <c r="E21" s="11" t="n"/>
    </row>
    <row r="22">
      <c r="A22" s="13" t="inlineStr">
        <is>
          <t>Encomendar bolo</t>
        </is>
      </c>
      <c r="B22" s="13" t="inlineStr">
        <is>
          <t>Você</t>
        </is>
      </c>
      <c r="C22" s="15" t="n">
        <v>46235</v>
      </c>
      <c r="D22" s="16" t="inlineStr">
        <is>
          <t>Pendente</t>
        </is>
      </c>
      <c r="E22" s="13" t="n"/>
    </row>
    <row r="23">
      <c r="A23" s="11" t="inlineStr">
        <is>
          <t>Decoração</t>
        </is>
      </c>
      <c r="B23" s="11" t="inlineStr">
        <is>
          <t>Irmã</t>
        </is>
      </c>
      <c r="C23" s="18" t="n">
        <v>46239</v>
      </c>
      <c r="D23" s="19" t="inlineStr">
        <is>
          <t>Pendente</t>
        </is>
      </c>
      <c r="E23" s="11" t="n"/>
    </row>
    <row r="24">
      <c r="A24" s="13" t="inlineStr">
        <is>
          <t>Convites digitais</t>
        </is>
      </c>
      <c r="B24" s="13" t="inlineStr">
        <is>
          <t>Você</t>
        </is>
      </c>
      <c r="C24" s="15" t="n">
        <v>46198</v>
      </c>
      <c r="D24" s="16" t="inlineStr">
        <is>
          <t>Concluída</t>
        </is>
      </c>
      <c r="E24" s="13" t="n"/>
    </row>
    <row r="25">
      <c r="A25" s="11" t="inlineStr">
        <is>
          <t>Lembrancinhas</t>
        </is>
      </c>
      <c r="B25" s="11" t="inlineStr">
        <is>
          <t>Madrinha</t>
        </is>
      </c>
      <c r="C25" s="18" t="n">
        <v>46244</v>
      </c>
      <c r="D25" s="19" t="inlineStr">
        <is>
          <t>Pendente</t>
        </is>
      </c>
      <c r="E25" s="11" t="n"/>
    </row>
    <row r="27" ht="20" customHeight="1">
      <c r="B27" s="9" t="inlineStr">
        <is>
          <t>Custos</t>
        </is>
      </c>
    </row>
    <row r="28" ht="20" customHeight="1">
      <c r="A28" s="10" t="inlineStr">
        <is>
          <t>Item</t>
        </is>
      </c>
      <c r="B28" s="10" t="inlineStr">
        <is>
          <t>Categoria</t>
        </is>
      </c>
      <c r="C28" s="10" t="inlineStr">
        <is>
          <t>Custo previsto</t>
        </is>
      </c>
      <c r="D28" s="10" t="inlineStr">
        <is>
          <t>Custo real</t>
        </is>
      </c>
      <c r="E28" s="10" t="inlineStr">
        <is>
          <t>Fornecedor</t>
        </is>
      </c>
    </row>
    <row r="29">
      <c r="A29" s="11" t="inlineStr">
        <is>
          <t>Aluguel do espaço</t>
        </is>
      </c>
      <c r="B29" s="11" t="inlineStr">
        <is>
          <t>Local</t>
        </is>
      </c>
      <c r="C29" s="12" t="n">
        <v>600</v>
      </c>
      <c r="D29" s="12" t="n">
        <v>600</v>
      </c>
      <c r="E29" s="11" t="inlineStr">
        <is>
          <t>Espaço Jardim</t>
        </is>
      </c>
    </row>
    <row r="30">
      <c r="A30" s="13" t="inlineStr">
        <is>
          <t>Buffet completo</t>
        </is>
      </c>
      <c r="B30" s="13" t="inlineStr">
        <is>
          <t>Comida</t>
        </is>
      </c>
      <c r="C30" s="14" t="n">
        <v>1200</v>
      </c>
      <c r="D30" s="14" t="n">
        <v>1100</v>
      </c>
      <c r="E30" s="13" t="inlineStr">
        <is>
          <t>Sabor &amp; Cia</t>
        </is>
      </c>
    </row>
    <row r="31">
      <c r="A31" s="11" t="inlineStr">
        <is>
          <t>Bolo temático</t>
        </is>
      </c>
      <c r="B31" s="11" t="inlineStr">
        <is>
          <t>Comida</t>
        </is>
      </c>
      <c r="C31" s="12" t="n">
        <v>280</v>
      </c>
      <c r="D31" s="12" t="n">
        <v>0</v>
      </c>
      <c r="E31" s="11" t="inlineStr">
        <is>
          <t>Doces da Vó</t>
        </is>
      </c>
    </row>
    <row r="32">
      <c r="A32" s="13" t="inlineStr">
        <is>
          <t>Decoração</t>
        </is>
      </c>
      <c r="B32" s="13" t="inlineStr">
        <is>
          <t>Decoração</t>
        </is>
      </c>
      <c r="C32" s="14" t="n">
        <v>450</v>
      </c>
      <c r="D32" s="14" t="n">
        <v>0</v>
      </c>
      <c r="E32" s="13" t="inlineStr">
        <is>
          <t>Arte em Festa</t>
        </is>
      </c>
    </row>
    <row r="33">
      <c r="A33" s="11" t="inlineStr">
        <is>
          <t>Lembrancinhas (30un)</t>
        </is>
      </c>
      <c r="B33" s="11" t="inlineStr">
        <is>
          <t>Presentes</t>
        </is>
      </c>
      <c r="C33" s="12" t="n">
        <v>300</v>
      </c>
      <c r="D33" s="12" t="n">
        <v>0</v>
      </c>
      <c r="E33" s="11" t="inlineStr">
        <is>
          <t>Mimos Kids</t>
        </is>
      </c>
    </row>
    <row r="34">
      <c r="A34" s="13" t="inlineStr">
        <is>
          <t>Fotógrafo</t>
        </is>
      </c>
      <c r="B34" s="13" t="inlineStr">
        <is>
          <t>Serviços</t>
        </is>
      </c>
      <c r="C34" s="14" t="n">
        <v>500</v>
      </c>
      <c r="D34" s="14" t="n">
        <v>500</v>
      </c>
      <c r="E34" s="13" t="inlineStr">
        <is>
          <t>Click Estúdio</t>
        </is>
      </c>
    </row>
    <row r="35">
      <c r="A35" s="11" t="inlineStr">
        <is>
          <t>Convites digitais</t>
        </is>
      </c>
      <c r="B35" s="11" t="inlineStr">
        <is>
          <t>Papelaria</t>
        </is>
      </c>
      <c r="C35" s="12" t="n">
        <v>0</v>
      </c>
      <c r="D35" s="12" t="n">
        <v>0</v>
      </c>
      <c r="E35" s="11" t="inlineStr">
        <is>
          <t>Canva</t>
        </is>
      </c>
    </row>
    <row r="36">
      <c r="A36" s="13" t="inlineStr">
        <is>
          <t>Som e iluminação</t>
        </is>
      </c>
      <c r="B36" s="13" t="inlineStr">
        <is>
          <t>Serviços</t>
        </is>
      </c>
      <c r="C36" s="14" t="n">
        <v>350</v>
      </c>
      <c r="D36" s="14" t="n">
        <v>0</v>
      </c>
      <c r="E36" s="13" t="inlineStr">
        <is>
          <t>Festa Som</t>
        </is>
      </c>
    </row>
  </sheetData>
  <mergeCells count="11">
    <mergeCell ref="A4:B4"/>
    <mergeCell ref="B18:E18"/>
    <mergeCell ref="B27:E27"/>
    <mergeCell ref="B1:N1"/>
    <mergeCell ref="E4"/>
    <mergeCell ref="C5:D5"/>
    <mergeCell ref="A5:B5"/>
    <mergeCell ref="B7:E7"/>
    <mergeCell ref="E5"/>
    <mergeCell ref="B2:N2"/>
    <mergeCell ref="C4:D4"/>
  </mergeCells>
  <conditionalFormatting sqref="B9:B16">
    <cfRule type="expression" priority="1" dxfId="0">
      <formula>$B9="Confirmado"</formula>
    </cfRule>
    <cfRule type="expression" priority="2" dxfId="2">
      <formula>$B9="Não vai"</formula>
    </cfRule>
  </conditionalFormatting>
  <conditionalFormatting sqref="D20:D25">
    <cfRule type="expression" priority="3" dxfId="0">
      <formula>$D20="Concluída"</formula>
    </cfRule>
    <cfRule type="expression" priority="4" dxfId="1">
      <formula>$D20="Pendente"</formula>
    </cfRule>
  </conditionalFormatting>
  <dataValidations count="2">
    <dataValidation sqref="B9:B200" showDropDown="0" showInputMessage="0" showErrorMessage="0" allowBlank="1" type="list">
      <formula1>"Confirmado,Talvez,Não vai"</formula1>
    </dataValidation>
    <dataValidation sqref="D20:D200" showDropDown="0" showInputMessage="0" showErrorMessage="0" allowBlank="1" type="list">
      <formula1>"Pendente,Em andamento,Concluída"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9A7B"/>
    <outlinePr summaryBelow="1" summaryRight="1"/>
    <pageSetUpPr/>
  </sheetPr>
  <dimension ref="A1:N5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4" customWidth="1" min="1" max="1"/>
    <col width="30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9" customWidth="1" min="8" max="8"/>
    <col width="17" customWidth="1" min="9" max="9"/>
    <col width="12" customWidth="1" min="10" max="10"/>
    <col width="15" customWidth="1" min="11" max="11"/>
    <col width="17" customWidth="1" min="12" max="12"/>
    <col width="22" customWidth="1" min="13" max="13"/>
    <col width="11" customWidth="1" min="14" max="14"/>
  </cols>
  <sheetData>
    <row r="1" ht="26" customHeight="1">
      <c r="B1" s="1" t="inlineStr">
        <is>
          <t>Enxoval Inteligente</t>
        </is>
      </c>
    </row>
    <row r="2" ht="16" customHeight="1">
      <c r="B2" s="2" t="inlineStr">
        <is>
          <t>Acompanhe o que já foi comprado, o que falta e quanto ainda falta investir.</t>
        </is>
      </c>
    </row>
    <row r="3" ht="6" customHeight="1"/>
    <row r="4">
      <c r="B4" s="3" t="inlineStr">
        <is>
          <t>% ENXOVAL COMPLETO</t>
        </is>
      </c>
      <c r="F4" s="3" t="inlineStr">
        <is>
          <t>ITENS COM SALDO PENDENTE</t>
        </is>
      </c>
      <c r="J4" s="3" t="inlineStr">
        <is>
          <t>VALOR RESTANTE ESTIMADO</t>
        </is>
      </c>
    </row>
    <row r="5">
      <c r="B5" s="6">
        <f>IF(SUM(E8:E200)=0,0,(SUM(F8:F200)+SUM(G8:G200))/SUM(E8:E200))</f>
        <v/>
      </c>
      <c r="F5" s="8">
        <f>COUNTIF(H8:H200,"&gt;0")</f>
        <v/>
      </c>
      <c r="J5" s="7">
        <f>SUM(K8:K200)</f>
        <v/>
      </c>
    </row>
    <row r="7" ht="20" customHeight="1">
      <c r="A7" s="10" t="inlineStr">
        <is>
          <t>Categoria</t>
        </is>
      </c>
      <c r="B7" s="10" t="inlineStr">
        <is>
          <t>Item</t>
        </is>
      </c>
      <c r="C7" s="10" t="inlineStr">
        <is>
          <t>Tamanho</t>
        </is>
      </c>
      <c r="D7" s="10" t="inlineStr">
        <is>
          <t>Prioridade</t>
        </is>
      </c>
      <c r="E7" s="10" t="inlineStr">
        <is>
          <t>Sugerida</t>
        </is>
      </c>
      <c r="F7" s="10" t="inlineStr">
        <is>
          <t>Comprada</t>
        </is>
      </c>
      <c r="G7" s="10" t="inlineStr">
        <is>
          <t>Recebida</t>
        </is>
      </c>
      <c r="H7" s="10" t="inlineStr">
        <is>
          <t>Saldo</t>
        </is>
      </c>
      <c r="I7" s="10" t="inlineStr">
        <is>
          <t>Status</t>
        </is>
      </c>
      <c r="J7" s="10" t="inlineStr">
        <is>
          <t>Custo unit.</t>
        </is>
      </c>
      <c r="K7" s="10" t="inlineStr">
        <is>
          <t>Custo restante</t>
        </is>
      </c>
      <c r="L7" s="10" t="inlineStr">
        <is>
          <t>Fornecedor</t>
        </is>
      </c>
      <c r="M7" s="10" t="inlineStr">
        <is>
          <t>Observações</t>
        </is>
      </c>
      <c r="N7" s="10" t="inlineStr">
        <is>
          <t>Progresso</t>
        </is>
      </c>
    </row>
    <row r="8" ht="20" customHeight="1">
      <c r="B8" s="9" t="inlineStr">
        <is>
          <t>Roupas</t>
        </is>
      </c>
    </row>
    <row r="9">
      <c r="A9" s="11" t="inlineStr">
        <is>
          <t>Roupas</t>
        </is>
      </c>
      <c r="B9" s="11" t="inlineStr">
        <is>
          <t>Body manga curta</t>
        </is>
      </c>
      <c r="C9" s="19" t="inlineStr">
        <is>
          <t>RN</t>
        </is>
      </c>
      <c r="D9" s="19" t="inlineStr">
        <is>
          <t>Essencial</t>
        </is>
      </c>
      <c r="E9" s="21" t="n">
        <v>8</v>
      </c>
      <c r="F9" s="21" t="n">
        <v>0</v>
      </c>
      <c r="G9" s="21" t="n">
        <v>0</v>
      </c>
      <c r="H9" s="21">
        <f>MAX(E9-F9-G9,0)</f>
        <v/>
      </c>
      <c r="I9" s="19">
        <f>IF(H9=0,"✓ completo",IF((F9+G9)=0,"○ não iniciado","● faltam "&amp;H9))</f>
        <v/>
      </c>
      <c r="J9" s="12" t="n">
        <v>18</v>
      </c>
      <c r="K9" s="12">
        <f>H9*J9</f>
        <v/>
      </c>
      <c r="L9" s="11" t="n"/>
      <c r="M9" s="11" t="n"/>
      <c r="N9" s="22">
        <f>IF(E9=0,0,MIN((F9+G9)/E9,1))</f>
        <v/>
      </c>
    </row>
    <row r="10">
      <c r="A10" s="13" t="inlineStr">
        <is>
          <t>Roupas</t>
        </is>
      </c>
      <c r="B10" s="13" t="inlineStr">
        <is>
          <t>Body manga longa</t>
        </is>
      </c>
      <c r="C10" s="16" t="inlineStr">
        <is>
          <t>RN</t>
        </is>
      </c>
      <c r="D10" s="16" t="inlineStr">
        <is>
          <t>Essencial</t>
        </is>
      </c>
      <c r="E10" s="23" t="n">
        <v>6</v>
      </c>
      <c r="F10" s="23" t="n">
        <v>0</v>
      </c>
      <c r="G10" s="23" t="n">
        <v>0</v>
      </c>
      <c r="H10" s="23">
        <f>MAX(E10-F10-G10,0)</f>
        <v/>
      </c>
      <c r="I10" s="16">
        <f>IF(H10=0,"✓ completo",IF((F10+G10)=0,"○ não iniciado","● faltam "&amp;H10))</f>
        <v/>
      </c>
      <c r="J10" s="14" t="n">
        <v>20</v>
      </c>
      <c r="K10" s="14">
        <f>H10*J10</f>
        <v/>
      </c>
      <c r="L10" s="13" t="n"/>
      <c r="M10" s="13" t="n"/>
      <c r="N10" s="24">
        <f>IF(E10=0,0,MIN((F10+G10)/E10,1))</f>
        <v/>
      </c>
    </row>
    <row r="11">
      <c r="A11" s="11" t="inlineStr">
        <is>
          <t>Roupas</t>
        </is>
      </c>
      <c r="B11" s="11" t="inlineStr">
        <is>
          <t>Macacão plush</t>
        </is>
      </c>
      <c r="C11" s="19" t="inlineStr">
        <is>
          <t>RN</t>
        </is>
      </c>
      <c r="D11" s="19" t="inlineStr">
        <is>
          <t>Essencial</t>
        </is>
      </c>
      <c r="E11" s="21" t="n">
        <v>4</v>
      </c>
      <c r="F11" s="21" t="n">
        <v>0</v>
      </c>
      <c r="G11" s="21" t="n">
        <v>0</v>
      </c>
      <c r="H11" s="21">
        <f>MAX(E11-F11-G11,0)</f>
        <v/>
      </c>
      <c r="I11" s="19">
        <f>IF(H11=0,"✓ completo",IF((F11+G11)=0,"○ não iniciado","● faltam "&amp;H11))</f>
        <v/>
      </c>
      <c r="J11" s="12" t="n">
        <v>35</v>
      </c>
      <c r="K11" s="12">
        <f>H11*J11</f>
        <v/>
      </c>
      <c r="L11" s="11" t="n"/>
      <c r="M11" s="11" t="n"/>
      <c r="N11" s="22">
        <f>IF(E11=0,0,MIN((F11+G11)/E11,1))</f>
        <v/>
      </c>
    </row>
    <row r="12">
      <c r="A12" s="13" t="inlineStr">
        <is>
          <t>Roupas</t>
        </is>
      </c>
      <c r="B12" s="13" t="inlineStr">
        <is>
          <t>Calça/legging</t>
        </is>
      </c>
      <c r="C12" s="16" t="inlineStr">
        <is>
          <t>P</t>
        </is>
      </c>
      <c r="D12" s="16" t="inlineStr">
        <is>
          <t>Desejável</t>
        </is>
      </c>
      <c r="E12" s="23" t="n">
        <v>5</v>
      </c>
      <c r="F12" s="23" t="n">
        <v>0</v>
      </c>
      <c r="G12" s="23" t="n">
        <v>0</v>
      </c>
      <c r="H12" s="23">
        <f>MAX(E12-F12-G12,0)</f>
        <v/>
      </c>
      <c r="I12" s="16">
        <f>IF(H12=0,"✓ completo",IF((F12+G12)=0,"○ não iniciado","● faltam "&amp;H12))</f>
        <v/>
      </c>
      <c r="J12" s="14" t="n">
        <v>22</v>
      </c>
      <c r="K12" s="14">
        <f>H12*J12</f>
        <v/>
      </c>
      <c r="L12" s="13" t="n"/>
      <c r="M12" s="13" t="n"/>
      <c r="N12" s="24">
        <f>IF(E12=0,0,MIN((F12+G12)/E12,1))</f>
        <v/>
      </c>
    </row>
    <row r="13">
      <c r="A13" s="11" t="inlineStr">
        <is>
          <t>Roupas</t>
        </is>
      </c>
      <c r="B13" s="11" t="inlineStr">
        <is>
          <t>Casaco/jaqueta</t>
        </is>
      </c>
      <c r="C13" s="19" t="inlineStr">
        <is>
          <t>RN</t>
        </is>
      </c>
      <c r="D13" s="19" t="inlineStr">
        <is>
          <t>Desejável</t>
        </is>
      </c>
      <c r="E13" s="21" t="n">
        <v>2</v>
      </c>
      <c r="F13" s="21" t="n">
        <v>0</v>
      </c>
      <c r="G13" s="21" t="n">
        <v>0</v>
      </c>
      <c r="H13" s="21">
        <f>MAX(E13-F13-G13,0)</f>
        <v/>
      </c>
      <c r="I13" s="19">
        <f>IF(H13=0,"✓ completo",IF((F13+G13)=0,"○ não iniciado","● faltam "&amp;H13))</f>
        <v/>
      </c>
      <c r="J13" s="12" t="n">
        <v>45</v>
      </c>
      <c r="K13" s="12">
        <f>H13*J13</f>
        <v/>
      </c>
      <c r="L13" s="11" t="n"/>
      <c r="M13" s="11" t="n"/>
      <c r="N13" s="22">
        <f>IF(E13=0,0,MIN((F13+G13)/E13,1))</f>
        <v/>
      </c>
    </row>
    <row r="14">
      <c r="A14" s="13" t="inlineStr">
        <is>
          <t>Roupas</t>
        </is>
      </c>
      <c r="B14" s="13" t="inlineStr">
        <is>
          <t>Meias</t>
        </is>
      </c>
      <c r="C14" s="16" t="inlineStr">
        <is>
          <t>RN</t>
        </is>
      </c>
      <c r="D14" s="16" t="inlineStr">
        <is>
          <t>Essencial</t>
        </is>
      </c>
      <c r="E14" s="23" t="n">
        <v>6</v>
      </c>
      <c r="F14" s="23" t="n">
        <v>0</v>
      </c>
      <c r="G14" s="23" t="n">
        <v>0</v>
      </c>
      <c r="H14" s="23">
        <f>MAX(E14-F14-G14,0)</f>
        <v/>
      </c>
      <c r="I14" s="16">
        <f>IF(H14=0,"✓ completo",IF((F14+G14)=0,"○ não iniciado","● faltam "&amp;H14))</f>
        <v/>
      </c>
      <c r="J14" s="14" t="n">
        <v>8</v>
      </c>
      <c r="K14" s="14">
        <f>H14*J14</f>
        <v/>
      </c>
      <c r="L14" s="13" t="n"/>
      <c r="M14" s="13" t="n"/>
      <c r="N14" s="24">
        <f>IF(E14=0,0,MIN((F14+G14)/E14,1))</f>
        <v/>
      </c>
    </row>
    <row r="15">
      <c r="A15" s="11" t="inlineStr">
        <is>
          <t>Roupas</t>
        </is>
      </c>
      <c r="B15" s="11" t="inlineStr">
        <is>
          <t>Luva e touca</t>
        </is>
      </c>
      <c r="C15" s="19" t="inlineStr">
        <is>
          <t>RN</t>
        </is>
      </c>
      <c r="D15" s="19" t="inlineStr">
        <is>
          <t>Desejável</t>
        </is>
      </c>
      <c r="E15" s="21" t="n">
        <v>2</v>
      </c>
      <c r="F15" s="21" t="n">
        <v>0</v>
      </c>
      <c r="G15" s="21" t="n">
        <v>0</v>
      </c>
      <c r="H15" s="21">
        <f>MAX(E15-F15-G15,0)</f>
        <v/>
      </c>
      <c r="I15" s="19">
        <f>IF(H15=0,"✓ completo",IF((F15+G15)=0,"○ não iniciado","● faltam "&amp;H15))</f>
        <v/>
      </c>
      <c r="J15" s="12" t="n">
        <v>15</v>
      </c>
      <c r="K15" s="12">
        <f>H15*J15</f>
        <v/>
      </c>
      <c r="L15" s="11" t="n"/>
      <c r="M15" s="11" t="n"/>
      <c r="N15" s="22">
        <f>IF(E15=0,0,MIN((F15+G15)/E15,1))</f>
        <v/>
      </c>
    </row>
    <row r="16" ht="16" customHeight="1">
      <c r="B16" s="25" t="inlineStr">
        <is>
          <t>Subtotal — Roupas</t>
        </is>
      </c>
      <c r="J16" s="26">
        <f>IF(SUMIF($A$8:$A$200,"Roupas",$E$8:$E$200)=0,0,(SUMIF($A$8:$A$200,"Roupas",$F$8:$F$200)+SUMIF($A$8:$A$200,"Roupas",$G$8:$G$200))/SUMIF($A$8:$A$200,"Roupas",$E$8:$E$200))</f>
        <v/>
      </c>
    </row>
    <row r="17" ht="20" customHeight="1">
      <c r="B17" s="9" t="inlineStr">
        <is>
          <t>Higiene e Banho</t>
        </is>
      </c>
    </row>
    <row r="18">
      <c r="A18" s="13" t="inlineStr">
        <is>
          <t>Higiene e Banho</t>
        </is>
      </c>
      <c r="B18" s="13" t="inlineStr">
        <is>
          <t>Fralda descartável RN (pacote)</t>
        </is>
      </c>
      <c r="C18" s="16" t="inlineStr">
        <is>
          <t>RN</t>
        </is>
      </c>
      <c r="D18" s="16" t="inlineStr">
        <is>
          <t>Essencial</t>
        </is>
      </c>
      <c r="E18" s="23" t="n">
        <v>6</v>
      </c>
      <c r="F18" s="23" t="n">
        <v>0</v>
      </c>
      <c r="G18" s="23" t="n">
        <v>0</v>
      </c>
      <c r="H18" s="23">
        <f>MAX(E18-F18-G18,0)</f>
        <v/>
      </c>
      <c r="I18" s="16">
        <f>IF(H18=0,"✓ completo",IF((F18+G18)=0,"○ não iniciado","● faltam "&amp;H18))</f>
        <v/>
      </c>
      <c r="J18" s="14" t="n">
        <v>32</v>
      </c>
      <c r="K18" s="14">
        <f>H18*J18</f>
        <v/>
      </c>
      <c r="L18" s="13" t="n"/>
      <c r="M18" s="13" t="n"/>
      <c r="N18" s="24">
        <f>IF(E18=0,0,MIN((F18+G18)/E18,1))</f>
        <v/>
      </c>
    </row>
    <row r="19">
      <c r="A19" s="11" t="inlineStr">
        <is>
          <t>Higiene e Banho</t>
        </is>
      </c>
      <c r="B19" s="11" t="inlineStr">
        <is>
          <t>Fralda descartável P (pacote)</t>
        </is>
      </c>
      <c r="C19" s="19" t="inlineStr">
        <is>
          <t>P</t>
        </is>
      </c>
      <c r="D19" s="19" t="inlineStr">
        <is>
          <t>Essencial</t>
        </is>
      </c>
      <c r="E19" s="21" t="n">
        <v>4</v>
      </c>
      <c r="F19" s="21" t="n">
        <v>0</v>
      </c>
      <c r="G19" s="21" t="n">
        <v>0</v>
      </c>
      <c r="H19" s="21">
        <f>MAX(E19-F19-G19,0)</f>
        <v/>
      </c>
      <c r="I19" s="19">
        <f>IF(H19=0,"✓ completo",IF((F19+G19)=0,"○ não iniciado","● faltam "&amp;H19))</f>
        <v/>
      </c>
      <c r="J19" s="12" t="n">
        <v>34</v>
      </c>
      <c r="K19" s="12">
        <f>H19*J19</f>
        <v/>
      </c>
      <c r="L19" s="11" t="n"/>
      <c r="M19" s="11" t="n"/>
      <c r="N19" s="22">
        <f>IF(E19=0,0,MIN((F19+G19)/E19,1))</f>
        <v/>
      </c>
    </row>
    <row r="20">
      <c r="A20" s="13" t="inlineStr">
        <is>
          <t>Higiene e Banho</t>
        </is>
      </c>
      <c r="B20" s="13" t="inlineStr">
        <is>
          <t>Toalha com capuz</t>
        </is>
      </c>
      <c r="C20" s="16" t="inlineStr">
        <is>
          <t>Único</t>
        </is>
      </c>
      <c r="D20" s="16" t="inlineStr">
        <is>
          <t>Essencial</t>
        </is>
      </c>
      <c r="E20" s="23" t="n">
        <v>3</v>
      </c>
      <c r="F20" s="23" t="n">
        <v>0</v>
      </c>
      <c r="G20" s="23" t="n">
        <v>0</v>
      </c>
      <c r="H20" s="23">
        <f>MAX(E20-F20-G20,0)</f>
        <v/>
      </c>
      <c r="I20" s="16">
        <f>IF(H20=0,"✓ completo",IF((F20+G20)=0,"○ não iniciado","● faltam "&amp;H20))</f>
        <v/>
      </c>
      <c r="J20" s="14" t="n">
        <v>40</v>
      </c>
      <c r="K20" s="14">
        <f>H20*J20</f>
        <v/>
      </c>
      <c r="L20" s="13" t="n"/>
      <c r="M20" s="13" t="n"/>
      <c r="N20" s="24">
        <f>IF(E20=0,0,MIN((F20+G20)/E20,1))</f>
        <v/>
      </c>
    </row>
    <row r="21">
      <c r="A21" s="11" t="inlineStr">
        <is>
          <t>Higiene e Banho</t>
        </is>
      </c>
      <c r="B21" s="11" t="inlineStr">
        <is>
          <t>Kit higiene (escova, tesoura etc.)</t>
        </is>
      </c>
      <c r="C21" s="19" t="inlineStr">
        <is>
          <t>Único</t>
        </is>
      </c>
      <c r="D21" s="19" t="inlineStr">
        <is>
          <t>Essencial</t>
        </is>
      </c>
      <c r="E21" s="21" t="n">
        <v>1</v>
      </c>
      <c r="F21" s="21" t="n">
        <v>0</v>
      </c>
      <c r="G21" s="21" t="n">
        <v>0</v>
      </c>
      <c r="H21" s="21">
        <f>MAX(E21-F21-G21,0)</f>
        <v/>
      </c>
      <c r="I21" s="19">
        <f>IF(H21=0,"✓ completo",IF((F21+G21)=0,"○ não iniciado","● faltam "&amp;H21))</f>
        <v/>
      </c>
      <c r="J21" s="12" t="n">
        <v>60</v>
      </c>
      <c r="K21" s="12">
        <f>H21*J21</f>
        <v/>
      </c>
      <c r="L21" s="11" t="n"/>
      <c r="M21" s="11" t="n"/>
      <c r="N21" s="22">
        <f>IF(E21=0,0,MIN((F21+G21)/E21,1))</f>
        <v/>
      </c>
    </row>
    <row r="22">
      <c r="A22" s="13" t="inlineStr">
        <is>
          <t>Higiene e Banho</t>
        </is>
      </c>
      <c r="B22" s="13" t="inlineStr">
        <is>
          <t>Banheira</t>
        </is>
      </c>
      <c r="C22" s="16" t="inlineStr">
        <is>
          <t>Único</t>
        </is>
      </c>
      <c r="D22" s="16" t="inlineStr">
        <is>
          <t>Desejável</t>
        </is>
      </c>
      <c r="E22" s="23" t="n">
        <v>1</v>
      </c>
      <c r="F22" s="23" t="n">
        <v>0</v>
      </c>
      <c r="G22" s="23" t="n">
        <v>0</v>
      </c>
      <c r="H22" s="23">
        <f>MAX(E22-F22-G22,0)</f>
        <v/>
      </c>
      <c r="I22" s="16">
        <f>IF(H22=0,"✓ completo",IF((F22+G22)=0,"○ não iniciado","● faltam "&amp;H22))</f>
        <v/>
      </c>
      <c r="J22" s="14" t="n">
        <v>120</v>
      </c>
      <c r="K22" s="14">
        <f>H22*J22</f>
        <v/>
      </c>
      <c r="L22" s="13" t="n"/>
      <c r="M22" s="13" t="n"/>
      <c r="N22" s="24">
        <f>IF(E22=0,0,MIN((F22+G22)/E22,1))</f>
        <v/>
      </c>
    </row>
    <row r="23">
      <c r="A23" s="11" t="inlineStr">
        <is>
          <t>Higiene e Banho</t>
        </is>
      </c>
      <c r="B23" s="11" t="inlineStr">
        <is>
          <t>Sabonete e shampoo neutro</t>
        </is>
      </c>
      <c r="C23" s="19" t="inlineStr">
        <is>
          <t>Único</t>
        </is>
      </c>
      <c r="D23" s="19" t="inlineStr">
        <is>
          <t>Essencial</t>
        </is>
      </c>
      <c r="E23" s="21" t="n">
        <v>2</v>
      </c>
      <c r="F23" s="21" t="n">
        <v>0</v>
      </c>
      <c r="G23" s="21" t="n">
        <v>0</v>
      </c>
      <c r="H23" s="21">
        <f>MAX(E23-F23-G23,0)</f>
        <v/>
      </c>
      <c r="I23" s="19">
        <f>IF(H23=0,"✓ completo",IF((F23+G23)=0,"○ não iniciado","● faltam "&amp;H23))</f>
        <v/>
      </c>
      <c r="J23" s="12" t="n">
        <v>25</v>
      </c>
      <c r="K23" s="12">
        <f>H23*J23</f>
        <v/>
      </c>
      <c r="L23" s="11" t="n"/>
      <c r="M23" s="11" t="n"/>
      <c r="N23" s="22">
        <f>IF(E23=0,0,MIN((F23+G23)/E23,1))</f>
        <v/>
      </c>
    </row>
    <row r="24" ht="16" customHeight="1">
      <c r="B24" s="25" t="inlineStr">
        <is>
          <t>Subtotal — Higiene e Banho</t>
        </is>
      </c>
      <c r="J24" s="26">
        <f>IF(SUMIF($A$8:$A$200,"Higiene e Banho",$E$8:$E$200)=0,0,(SUMIF($A$8:$A$200,"Higiene e Banho",$F$8:$F$200)+SUMIF($A$8:$A$200,"Higiene e Banho",$G$8:$G$200))/SUMIF($A$8:$A$200,"Higiene e Banho",$E$8:$E$200))</f>
        <v/>
      </c>
    </row>
    <row r="25" ht="20" customHeight="1">
      <c r="B25" s="9" t="inlineStr">
        <is>
          <t>Quarto e Mobiliário</t>
        </is>
      </c>
    </row>
    <row r="26">
      <c r="A26" s="13" t="inlineStr">
        <is>
          <t>Quarto e Mobiliário</t>
        </is>
      </c>
      <c r="B26" s="13" t="inlineStr">
        <is>
          <t>Berço</t>
        </is>
      </c>
      <c r="C26" s="16" t="inlineStr">
        <is>
          <t>Único</t>
        </is>
      </c>
      <c r="D26" s="16" t="inlineStr">
        <is>
          <t>Essencial</t>
        </is>
      </c>
      <c r="E26" s="23" t="n">
        <v>1</v>
      </c>
      <c r="F26" s="23" t="n">
        <v>0</v>
      </c>
      <c r="G26" s="23" t="n">
        <v>0</v>
      </c>
      <c r="H26" s="23">
        <f>MAX(E26-F26-G26,0)</f>
        <v/>
      </c>
      <c r="I26" s="16">
        <f>IF(H26=0,"✓ completo",IF((F26+G26)=0,"○ não iniciado","● faltam "&amp;H26))</f>
        <v/>
      </c>
      <c r="J26" s="14" t="n">
        <v>650</v>
      </c>
      <c r="K26" s="14">
        <f>H26*J26</f>
        <v/>
      </c>
      <c r="L26" s="13" t="n"/>
      <c r="M26" s="13" t="n"/>
      <c r="N26" s="24">
        <f>IF(E26=0,0,MIN((F26+G26)/E26,1))</f>
        <v/>
      </c>
    </row>
    <row r="27">
      <c r="A27" s="11" t="inlineStr">
        <is>
          <t>Quarto e Mobiliário</t>
        </is>
      </c>
      <c r="B27" s="11" t="inlineStr">
        <is>
          <t>Colchão de berço</t>
        </is>
      </c>
      <c r="C27" s="19" t="inlineStr">
        <is>
          <t>Único</t>
        </is>
      </c>
      <c r="D27" s="19" t="inlineStr">
        <is>
          <t>Essencial</t>
        </is>
      </c>
      <c r="E27" s="21" t="n">
        <v>1</v>
      </c>
      <c r="F27" s="21" t="n">
        <v>0</v>
      </c>
      <c r="G27" s="21" t="n">
        <v>0</v>
      </c>
      <c r="H27" s="21">
        <f>MAX(E27-F27-G27,0)</f>
        <v/>
      </c>
      <c r="I27" s="19">
        <f>IF(H27=0,"✓ completo",IF((F27+G27)=0,"○ não iniciado","● faltam "&amp;H27))</f>
        <v/>
      </c>
      <c r="J27" s="12" t="n">
        <v>180</v>
      </c>
      <c r="K27" s="12">
        <f>H27*J27</f>
        <v/>
      </c>
      <c r="L27" s="11" t="n"/>
      <c r="M27" s="11" t="n"/>
      <c r="N27" s="22">
        <f>IF(E27=0,0,MIN((F27+G27)/E27,1))</f>
        <v/>
      </c>
    </row>
    <row r="28">
      <c r="A28" s="13" t="inlineStr">
        <is>
          <t>Quarto e Mobiliário</t>
        </is>
      </c>
      <c r="B28" s="13" t="inlineStr">
        <is>
          <t>Jogo de lençol</t>
        </is>
      </c>
      <c r="C28" s="16" t="inlineStr">
        <is>
          <t>Único</t>
        </is>
      </c>
      <c r="D28" s="16" t="inlineStr">
        <is>
          <t>Essencial</t>
        </is>
      </c>
      <c r="E28" s="23" t="n">
        <v>3</v>
      </c>
      <c r="F28" s="23" t="n">
        <v>0</v>
      </c>
      <c r="G28" s="23" t="n">
        <v>0</v>
      </c>
      <c r="H28" s="23">
        <f>MAX(E28-F28-G28,0)</f>
        <v/>
      </c>
      <c r="I28" s="16">
        <f>IF(H28=0,"✓ completo",IF((F28+G28)=0,"○ não iniciado","● faltam "&amp;H28))</f>
        <v/>
      </c>
      <c r="J28" s="14" t="n">
        <v>70</v>
      </c>
      <c r="K28" s="14">
        <f>H28*J28</f>
        <v/>
      </c>
      <c r="L28" s="13" t="n"/>
      <c r="M28" s="13" t="n"/>
      <c r="N28" s="24">
        <f>IF(E28=0,0,MIN((F28+G28)/E28,1))</f>
        <v/>
      </c>
    </row>
    <row r="29">
      <c r="A29" s="11" t="inlineStr">
        <is>
          <t>Quarto e Mobiliário</t>
        </is>
      </c>
      <c r="B29" s="11" t="inlineStr">
        <is>
          <t>Cômoda/trocador</t>
        </is>
      </c>
      <c r="C29" s="19" t="inlineStr">
        <is>
          <t>Único</t>
        </is>
      </c>
      <c r="D29" s="19" t="inlineStr">
        <is>
          <t>Desejável</t>
        </is>
      </c>
      <c r="E29" s="21" t="n">
        <v>1</v>
      </c>
      <c r="F29" s="21" t="n">
        <v>0</v>
      </c>
      <c r="G29" s="21" t="n">
        <v>0</v>
      </c>
      <c r="H29" s="21">
        <f>MAX(E29-F29-G29,0)</f>
        <v/>
      </c>
      <c r="I29" s="19">
        <f>IF(H29=0,"✓ completo",IF((F29+G29)=0,"○ não iniciado","● faltam "&amp;H29))</f>
        <v/>
      </c>
      <c r="J29" s="12" t="n">
        <v>450</v>
      </c>
      <c r="K29" s="12">
        <f>H29*J29</f>
        <v/>
      </c>
      <c r="L29" s="11" t="n"/>
      <c r="M29" s="11" t="n"/>
      <c r="N29" s="22">
        <f>IF(E29=0,0,MIN((F29+G29)/E29,1))</f>
        <v/>
      </c>
    </row>
    <row r="30">
      <c r="A30" s="13" t="inlineStr">
        <is>
          <t>Quarto e Mobiliário</t>
        </is>
      </c>
      <c r="B30" s="13" t="inlineStr">
        <is>
          <t>Móbile/decoração</t>
        </is>
      </c>
      <c r="C30" s="16" t="inlineStr">
        <is>
          <t>Único</t>
        </is>
      </c>
      <c r="D30" s="16" t="inlineStr">
        <is>
          <t>Desejável</t>
        </is>
      </c>
      <c r="E30" s="23" t="n">
        <v>1</v>
      </c>
      <c r="F30" s="23" t="n">
        <v>0</v>
      </c>
      <c r="G30" s="23" t="n">
        <v>0</v>
      </c>
      <c r="H30" s="23">
        <f>MAX(E30-F30-G30,0)</f>
        <v/>
      </c>
      <c r="I30" s="16">
        <f>IF(H30=0,"✓ completo",IF((F30+G30)=0,"○ não iniciado","● faltam "&amp;H30))</f>
        <v/>
      </c>
      <c r="J30" s="14" t="n">
        <v>80</v>
      </c>
      <c r="K30" s="14">
        <f>H30*J30</f>
        <v/>
      </c>
      <c r="L30" s="13" t="n"/>
      <c r="M30" s="13" t="n"/>
      <c r="N30" s="24">
        <f>IF(E30=0,0,MIN((F30+G30)/E30,1))</f>
        <v/>
      </c>
    </row>
    <row r="31" ht="16" customHeight="1">
      <c r="B31" s="25" t="inlineStr">
        <is>
          <t>Subtotal — Quarto e Mobiliário</t>
        </is>
      </c>
      <c r="J31" s="26">
        <f>IF(SUMIF($A$8:$A$200,"Quarto e Mobiliário",$E$8:$E$200)=0,0,(SUMIF($A$8:$A$200,"Quarto e Mobiliário",$F$8:$F$200)+SUMIF($A$8:$A$200,"Quarto e Mobiliário",$G$8:$G$200))/SUMIF($A$8:$A$200,"Quarto e Mobiliário",$E$8:$E$200))</f>
        <v/>
      </c>
    </row>
    <row r="32" ht="20" customHeight="1">
      <c r="B32" s="9" t="inlineStr">
        <is>
          <t>Amamentação e Alimentação</t>
        </is>
      </c>
    </row>
    <row r="33">
      <c r="A33" s="11" t="inlineStr">
        <is>
          <t>Amamentação e Alimentação</t>
        </is>
      </c>
      <c r="B33" s="11" t="inlineStr">
        <is>
          <t>Sutiã de amamentação</t>
        </is>
      </c>
      <c r="C33" s="19" t="inlineStr">
        <is>
          <t>Único</t>
        </is>
      </c>
      <c r="D33" s="19" t="inlineStr">
        <is>
          <t>Essencial</t>
        </is>
      </c>
      <c r="E33" s="21" t="n">
        <v>3</v>
      </c>
      <c r="F33" s="21" t="n">
        <v>0</v>
      </c>
      <c r="G33" s="21" t="n">
        <v>0</v>
      </c>
      <c r="H33" s="21">
        <f>MAX(E33-F33-G33,0)</f>
        <v/>
      </c>
      <c r="I33" s="19">
        <f>IF(H33=0,"✓ completo",IF((F33+G33)=0,"○ não iniciado","● faltam "&amp;H33))</f>
        <v/>
      </c>
      <c r="J33" s="12" t="n">
        <v>40</v>
      </c>
      <c r="K33" s="12">
        <f>H33*J33</f>
        <v/>
      </c>
      <c r="L33" s="11" t="n"/>
      <c r="M33" s="11" t="n"/>
      <c r="N33" s="22">
        <f>IF(E33=0,0,MIN((F33+G33)/E33,1))</f>
        <v/>
      </c>
    </row>
    <row r="34">
      <c r="A34" s="13" t="inlineStr">
        <is>
          <t>Amamentação e Alimentação</t>
        </is>
      </c>
      <c r="B34" s="13" t="inlineStr">
        <is>
          <t>Absorvente para seios</t>
        </is>
      </c>
      <c r="C34" s="16" t="inlineStr">
        <is>
          <t>Único</t>
        </is>
      </c>
      <c r="D34" s="16" t="inlineStr">
        <is>
          <t>Desejável</t>
        </is>
      </c>
      <c r="E34" s="23" t="n">
        <v>2</v>
      </c>
      <c r="F34" s="23" t="n">
        <v>0</v>
      </c>
      <c r="G34" s="23" t="n">
        <v>0</v>
      </c>
      <c r="H34" s="23">
        <f>MAX(E34-F34-G34,0)</f>
        <v/>
      </c>
      <c r="I34" s="16">
        <f>IF(H34=0,"✓ completo",IF((F34+G34)=0,"○ não iniciado","● faltam "&amp;H34))</f>
        <v/>
      </c>
      <c r="J34" s="14" t="n">
        <v>20</v>
      </c>
      <c r="K34" s="14">
        <f>H34*J34</f>
        <v/>
      </c>
      <c r="L34" s="13" t="n"/>
      <c r="M34" s="13" t="n"/>
      <c r="N34" s="24">
        <f>IF(E34=0,0,MIN((F34+G34)/E34,1))</f>
        <v/>
      </c>
    </row>
    <row r="35">
      <c r="A35" s="11" t="inlineStr">
        <is>
          <t>Amamentação e Alimentação</t>
        </is>
      </c>
      <c r="B35" s="11" t="inlineStr">
        <is>
          <t>Mamadeira</t>
        </is>
      </c>
      <c r="C35" s="19" t="inlineStr">
        <is>
          <t>Único</t>
        </is>
      </c>
      <c r="D35" s="19" t="inlineStr">
        <is>
          <t>Desejável</t>
        </is>
      </c>
      <c r="E35" s="21" t="n">
        <v>2</v>
      </c>
      <c r="F35" s="21" t="n">
        <v>0</v>
      </c>
      <c r="G35" s="21" t="n">
        <v>0</v>
      </c>
      <c r="H35" s="21">
        <f>MAX(E35-F35-G35,0)</f>
        <v/>
      </c>
      <c r="I35" s="19">
        <f>IF(H35=0,"✓ completo",IF((F35+G35)=0,"○ não iniciado","● faltam "&amp;H35))</f>
        <v/>
      </c>
      <c r="J35" s="12" t="n">
        <v>30</v>
      </c>
      <c r="K35" s="12">
        <f>H35*J35</f>
        <v/>
      </c>
      <c r="L35" s="11" t="n"/>
      <c r="M35" s="11" t="n"/>
      <c r="N35" s="22">
        <f>IF(E35=0,0,MIN((F35+G35)/E35,1))</f>
        <v/>
      </c>
    </row>
    <row r="36">
      <c r="A36" s="13" t="inlineStr">
        <is>
          <t>Amamentação e Alimentação</t>
        </is>
      </c>
      <c r="B36" s="13" t="inlineStr">
        <is>
          <t>Almofada de amamentação</t>
        </is>
      </c>
      <c r="C36" s="16" t="inlineStr">
        <is>
          <t>Único</t>
        </is>
      </c>
      <c r="D36" s="16" t="inlineStr">
        <is>
          <t>Desejável</t>
        </is>
      </c>
      <c r="E36" s="23" t="n">
        <v>1</v>
      </c>
      <c r="F36" s="23" t="n">
        <v>0</v>
      </c>
      <c r="G36" s="23" t="n">
        <v>0</v>
      </c>
      <c r="H36" s="23">
        <f>MAX(E36-F36-G36,0)</f>
        <v/>
      </c>
      <c r="I36" s="16">
        <f>IF(H36=0,"✓ completo",IF((F36+G36)=0,"○ não iniciado","● faltam "&amp;H36))</f>
        <v/>
      </c>
      <c r="J36" s="14" t="n">
        <v>90</v>
      </c>
      <c r="K36" s="14">
        <f>H36*J36</f>
        <v/>
      </c>
      <c r="L36" s="13" t="n"/>
      <c r="M36" s="13" t="n"/>
      <c r="N36" s="24">
        <f>IF(E36=0,0,MIN((F36+G36)/E36,1))</f>
        <v/>
      </c>
    </row>
    <row r="37">
      <c r="A37" s="11" t="inlineStr">
        <is>
          <t>Amamentação e Alimentação</t>
        </is>
      </c>
      <c r="B37" s="11" t="inlineStr">
        <is>
          <t>Esterilizador</t>
        </is>
      </c>
      <c r="C37" s="19" t="inlineStr">
        <is>
          <t>Único</t>
        </is>
      </c>
      <c r="D37" s="19" t="inlineStr">
        <is>
          <t>Desejável</t>
        </is>
      </c>
      <c r="E37" s="21" t="n">
        <v>1</v>
      </c>
      <c r="F37" s="21" t="n">
        <v>0</v>
      </c>
      <c r="G37" s="21" t="n">
        <v>0</v>
      </c>
      <c r="H37" s="21">
        <f>MAX(E37-F37-G37,0)</f>
        <v/>
      </c>
      <c r="I37" s="19">
        <f>IF(H37=0,"✓ completo",IF((F37+G37)=0,"○ não iniciado","● faltam "&amp;H37))</f>
        <v/>
      </c>
      <c r="J37" s="12" t="n">
        <v>150</v>
      </c>
      <c r="K37" s="12">
        <f>H37*J37</f>
        <v/>
      </c>
      <c r="L37" s="11" t="n"/>
      <c r="M37" s="11" t="n"/>
      <c r="N37" s="22">
        <f>IF(E37=0,0,MIN((F37+G37)/E37,1))</f>
        <v/>
      </c>
    </row>
    <row r="38" ht="16" customHeight="1">
      <c r="B38" s="25" t="inlineStr">
        <is>
          <t>Subtotal — Amamentação e Alimentação</t>
        </is>
      </c>
      <c r="J38" s="26">
        <f>IF(SUMIF($A$8:$A$200,"Amamentação e Alimentação",$E$8:$E$200)=0,0,(SUMIF($A$8:$A$200,"Amamentação e Alimentação",$F$8:$F$200)+SUMIF($A$8:$A$200,"Amamentação e Alimentação",$G$8:$G$200))/SUMIF($A$8:$A$200,"Amamentação e Alimentação",$E$8:$E$200))</f>
        <v/>
      </c>
    </row>
    <row r="39" ht="20" customHeight="1">
      <c r="B39" s="9" t="inlineStr">
        <is>
          <t>Passeio e Transporte</t>
        </is>
      </c>
    </row>
    <row r="40">
      <c r="A40" s="13" t="inlineStr">
        <is>
          <t>Passeio e Transporte</t>
        </is>
      </c>
      <c r="B40" s="13" t="inlineStr">
        <is>
          <t>Bebê conforto</t>
        </is>
      </c>
      <c r="C40" s="16" t="inlineStr">
        <is>
          <t>Único</t>
        </is>
      </c>
      <c r="D40" s="16" t="inlineStr">
        <is>
          <t>Essencial</t>
        </is>
      </c>
      <c r="E40" s="23" t="n">
        <v>1</v>
      </c>
      <c r="F40" s="23" t="n">
        <v>0</v>
      </c>
      <c r="G40" s="23" t="n">
        <v>0</v>
      </c>
      <c r="H40" s="23">
        <f>MAX(E40-F40-G40,0)</f>
        <v/>
      </c>
      <c r="I40" s="16">
        <f>IF(H40=0,"✓ completo",IF((F40+G40)=0,"○ não iniciado","● faltam "&amp;H40))</f>
        <v/>
      </c>
      <c r="J40" s="14" t="n">
        <v>400</v>
      </c>
      <c r="K40" s="14">
        <f>H40*J40</f>
        <v/>
      </c>
      <c r="L40" s="13" t="n"/>
      <c r="M40" s="13" t="n"/>
      <c r="N40" s="24">
        <f>IF(E40=0,0,MIN((F40+G40)/E40,1))</f>
        <v/>
      </c>
    </row>
    <row r="41">
      <c r="A41" s="11" t="inlineStr">
        <is>
          <t>Passeio e Transporte</t>
        </is>
      </c>
      <c r="B41" s="11" t="inlineStr">
        <is>
          <t>Carrinho de bebê</t>
        </is>
      </c>
      <c r="C41" s="19" t="inlineStr">
        <is>
          <t>Único</t>
        </is>
      </c>
      <c r="D41" s="19" t="inlineStr">
        <is>
          <t>Essencial</t>
        </is>
      </c>
      <c r="E41" s="21" t="n">
        <v>1</v>
      </c>
      <c r="F41" s="21" t="n">
        <v>0</v>
      </c>
      <c r="G41" s="21" t="n">
        <v>0</v>
      </c>
      <c r="H41" s="21">
        <f>MAX(E41-F41-G41,0)</f>
        <v/>
      </c>
      <c r="I41" s="19">
        <f>IF(H41=0,"✓ completo",IF((F41+G41)=0,"○ não iniciado","● faltam "&amp;H41))</f>
        <v/>
      </c>
      <c r="J41" s="12" t="n">
        <v>800</v>
      </c>
      <c r="K41" s="12">
        <f>H41*J41</f>
        <v/>
      </c>
      <c r="L41" s="11" t="n"/>
      <c r="M41" s="11" t="n"/>
      <c r="N41" s="22">
        <f>IF(E41=0,0,MIN((F41+G41)/E41,1))</f>
        <v/>
      </c>
    </row>
    <row r="42">
      <c r="A42" s="13" t="inlineStr">
        <is>
          <t>Passeio e Transporte</t>
        </is>
      </c>
      <c r="B42" s="13" t="inlineStr">
        <is>
          <t>Bolsa maternidade</t>
        </is>
      </c>
      <c r="C42" s="16" t="inlineStr">
        <is>
          <t>Único</t>
        </is>
      </c>
      <c r="D42" s="16" t="inlineStr">
        <is>
          <t>Essencial</t>
        </is>
      </c>
      <c r="E42" s="23" t="n">
        <v>1</v>
      </c>
      <c r="F42" s="23" t="n">
        <v>0</v>
      </c>
      <c r="G42" s="23" t="n">
        <v>0</v>
      </c>
      <c r="H42" s="23">
        <f>MAX(E42-F42-G42,0)</f>
        <v/>
      </c>
      <c r="I42" s="16">
        <f>IF(H42=0,"✓ completo",IF((F42+G42)=0,"○ não iniciado","● faltam "&amp;H42))</f>
        <v/>
      </c>
      <c r="J42" s="14" t="n">
        <v>180</v>
      </c>
      <c r="K42" s="14">
        <f>H42*J42</f>
        <v/>
      </c>
      <c r="L42" s="13" t="n"/>
      <c r="M42" s="13" t="n"/>
      <c r="N42" s="24">
        <f>IF(E42=0,0,MIN((F42+G42)/E42,1))</f>
        <v/>
      </c>
    </row>
    <row r="43">
      <c r="A43" s="11" t="inlineStr">
        <is>
          <t>Passeio e Transporte</t>
        </is>
      </c>
      <c r="B43" s="11" t="inlineStr">
        <is>
          <t>Canguru/sling</t>
        </is>
      </c>
      <c r="C43" s="19" t="inlineStr">
        <is>
          <t>Único</t>
        </is>
      </c>
      <c r="D43" s="19" t="inlineStr">
        <is>
          <t>Desejável</t>
        </is>
      </c>
      <c r="E43" s="21" t="n">
        <v>1</v>
      </c>
      <c r="F43" s="21" t="n">
        <v>0</v>
      </c>
      <c r="G43" s="21" t="n">
        <v>0</v>
      </c>
      <c r="H43" s="21">
        <f>MAX(E43-F43-G43,0)</f>
        <v/>
      </c>
      <c r="I43" s="19">
        <f>IF(H43=0,"✓ completo",IF((F43+G43)=0,"○ não iniciado","● faltam "&amp;H43))</f>
        <v/>
      </c>
      <c r="J43" s="12" t="n">
        <v>120</v>
      </c>
      <c r="K43" s="12">
        <f>H43*J43</f>
        <v/>
      </c>
      <c r="L43" s="11" t="n"/>
      <c r="M43" s="11" t="n"/>
      <c r="N43" s="22">
        <f>IF(E43=0,0,MIN((F43+G43)/E43,1))</f>
        <v/>
      </c>
    </row>
    <row r="44" ht="16" customHeight="1">
      <c r="B44" s="25" t="inlineStr">
        <is>
          <t>Subtotal — Passeio e Transporte</t>
        </is>
      </c>
      <c r="J44" s="26">
        <f>IF(SUMIF($A$8:$A$200,"Passeio e Transporte",$E$8:$E$200)=0,0,(SUMIF($A$8:$A$200,"Passeio e Transporte",$F$8:$F$200)+SUMIF($A$8:$A$200,"Passeio e Transporte",$G$8:$G$200))/SUMIF($A$8:$A$200,"Passeio e Transporte",$E$8:$E$200))</f>
        <v/>
      </c>
    </row>
    <row r="45" ht="20" customHeight="1">
      <c r="B45" s="9" t="inlineStr">
        <is>
          <t>Saúde e Primeiros Socorros</t>
        </is>
      </c>
    </row>
    <row r="46">
      <c r="A46" s="13" t="inlineStr">
        <is>
          <t>Saúde e Primeiros Socorros</t>
        </is>
      </c>
      <c r="B46" s="13" t="inlineStr">
        <is>
          <t>Termômetro digital</t>
        </is>
      </c>
      <c r="C46" s="16" t="inlineStr">
        <is>
          <t>Único</t>
        </is>
      </c>
      <c r="D46" s="16" t="inlineStr">
        <is>
          <t>Essencial</t>
        </is>
      </c>
      <c r="E46" s="23" t="n">
        <v>1</v>
      </c>
      <c r="F46" s="23" t="n">
        <v>0</v>
      </c>
      <c r="G46" s="23" t="n">
        <v>0</v>
      </c>
      <c r="H46" s="23">
        <f>MAX(E46-F46-G46,0)</f>
        <v/>
      </c>
      <c r="I46" s="16">
        <f>IF(H46=0,"✓ completo",IF((F46+G46)=0,"○ não iniciado","● faltam "&amp;H46))</f>
        <v/>
      </c>
      <c r="J46" s="14" t="n">
        <v>35</v>
      </c>
      <c r="K46" s="14">
        <f>H46*J46</f>
        <v/>
      </c>
      <c r="L46" s="13" t="n"/>
      <c r="M46" s="13" t="n"/>
      <c r="N46" s="24">
        <f>IF(E46=0,0,MIN((F46+G46)/E46,1))</f>
        <v/>
      </c>
    </row>
    <row r="47">
      <c r="A47" s="11" t="inlineStr">
        <is>
          <t>Saúde e Primeiros Socorros</t>
        </is>
      </c>
      <c r="B47" s="11" t="inlineStr">
        <is>
          <t>Aspirador nasal</t>
        </is>
      </c>
      <c r="C47" s="19" t="inlineStr">
        <is>
          <t>Único</t>
        </is>
      </c>
      <c r="D47" s="19" t="inlineStr">
        <is>
          <t>Essencial</t>
        </is>
      </c>
      <c r="E47" s="21" t="n">
        <v>1</v>
      </c>
      <c r="F47" s="21" t="n">
        <v>0</v>
      </c>
      <c r="G47" s="21" t="n">
        <v>0</v>
      </c>
      <c r="H47" s="21">
        <f>MAX(E47-F47-G47,0)</f>
        <v/>
      </c>
      <c r="I47" s="19">
        <f>IF(H47=0,"✓ completo",IF((F47+G47)=0,"○ não iniciado","● faltam "&amp;H47))</f>
        <v/>
      </c>
      <c r="J47" s="12" t="n">
        <v>25</v>
      </c>
      <c r="K47" s="12">
        <f>H47*J47</f>
        <v/>
      </c>
      <c r="L47" s="11" t="n"/>
      <c r="M47" s="11" t="n"/>
      <c r="N47" s="22">
        <f>IF(E47=0,0,MIN((F47+G47)/E47,1))</f>
        <v/>
      </c>
    </row>
    <row r="48">
      <c r="A48" s="13" t="inlineStr">
        <is>
          <t>Saúde e Primeiros Socorros</t>
        </is>
      </c>
      <c r="B48" s="13" t="inlineStr">
        <is>
          <t>Kit primeiros socorros</t>
        </is>
      </c>
      <c r="C48" s="16" t="inlineStr">
        <is>
          <t>Único</t>
        </is>
      </c>
      <c r="D48" s="16" t="inlineStr">
        <is>
          <t>Desejável</t>
        </is>
      </c>
      <c r="E48" s="23" t="n">
        <v>1</v>
      </c>
      <c r="F48" s="23" t="n">
        <v>0</v>
      </c>
      <c r="G48" s="23" t="n">
        <v>0</v>
      </c>
      <c r="H48" s="23">
        <f>MAX(E48-F48-G48,0)</f>
        <v/>
      </c>
      <c r="I48" s="16">
        <f>IF(H48=0,"✓ completo",IF((F48+G48)=0,"○ não iniciado","● faltam "&amp;H48))</f>
        <v/>
      </c>
      <c r="J48" s="14" t="n">
        <v>50</v>
      </c>
      <c r="K48" s="14">
        <f>H48*J48</f>
        <v/>
      </c>
      <c r="L48" s="13" t="n"/>
      <c r="M48" s="13" t="n"/>
      <c r="N48" s="24">
        <f>IF(E48=0,0,MIN((F48+G48)/E48,1))</f>
        <v/>
      </c>
    </row>
    <row r="49">
      <c r="A49" s="11" t="inlineStr">
        <is>
          <t>Saúde e Primeiros Socorros</t>
        </is>
      </c>
      <c r="B49" s="11" t="inlineStr">
        <is>
          <t>Protetor solar infantil</t>
        </is>
      </c>
      <c r="C49" s="19" t="inlineStr">
        <is>
          <t>Único</t>
        </is>
      </c>
      <c r="D49" s="19" t="inlineStr">
        <is>
          <t>Desejável</t>
        </is>
      </c>
      <c r="E49" s="21" t="n">
        <v>1</v>
      </c>
      <c r="F49" s="21" t="n">
        <v>0</v>
      </c>
      <c r="G49" s="21" t="n">
        <v>0</v>
      </c>
      <c r="H49" s="21">
        <f>MAX(E49-F49-G49,0)</f>
        <v/>
      </c>
      <c r="I49" s="19">
        <f>IF(H49=0,"✓ completo",IF((F49+G49)=0,"○ não iniciado","● faltam "&amp;H49))</f>
        <v/>
      </c>
      <c r="J49" s="12" t="n">
        <v>45</v>
      </c>
      <c r="K49" s="12">
        <f>H49*J49</f>
        <v/>
      </c>
      <c r="L49" s="11" t="n"/>
      <c r="M49" s="11" t="n"/>
      <c r="N49" s="22">
        <f>IF(E49=0,0,MIN((F49+G49)/E49,1))</f>
        <v/>
      </c>
    </row>
    <row r="50" ht="16" customHeight="1">
      <c r="B50" s="25" t="inlineStr">
        <is>
          <t>Subtotal — Saúde e Primeiros Socorros</t>
        </is>
      </c>
      <c r="J50" s="26">
        <f>IF(SUMIF($A$8:$A$200,"Saúde e Primeiros Socorros",$E$8:$E$200)=0,0,(SUMIF($A$8:$A$200,"Saúde e Primeiros Socorros",$F$8:$F$200)+SUMIF($A$8:$A$200,"Saúde e Primeiros Socorros",$G$8:$G$200))/SUMIF($A$8:$A$200,"Saúde e Primeiros Socorros",$E$8:$E$200))</f>
        <v/>
      </c>
    </row>
  </sheetData>
  <mergeCells count="26">
    <mergeCell ref="F5:H5"/>
    <mergeCell ref="J44:N44"/>
    <mergeCell ref="B16:I16"/>
    <mergeCell ref="J38:N38"/>
    <mergeCell ref="J4:L4"/>
    <mergeCell ref="B31:I31"/>
    <mergeCell ref="B45:N45"/>
    <mergeCell ref="B32:N32"/>
    <mergeCell ref="J24:N24"/>
    <mergeCell ref="B25:N25"/>
    <mergeCell ref="B5:D5"/>
    <mergeCell ref="B44:I44"/>
    <mergeCell ref="B38:I38"/>
    <mergeCell ref="B4:D4"/>
    <mergeCell ref="J16:N16"/>
    <mergeCell ref="F4:H4"/>
    <mergeCell ref="B39:N39"/>
    <mergeCell ref="J31:N31"/>
    <mergeCell ref="B2:N2"/>
    <mergeCell ref="J5:L5"/>
    <mergeCell ref="J50:N50"/>
    <mergeCell ref="B1:N1"/>
    <mergeCell ref="B8:N8"/>
    <mergeCell ref="B24:I24"/>
    <mergeCell ref="B17:N17"/>
    <mergeCell ref="B50:I50"/>
  </mergeCells>
  <conditionalFormatting sqref="I8:I50">
    <cfRule type="expression" priority="1" dxfId="0">
      <formula>ISNUMBER(SEARCH("completo",$I8))</formula>
    </cfRule>
    <cfRule type="expression" priority="2" dxfId="2">
      <formula>ISNUMBER(SEARCH("não iniciado",$I8))</formula>
    </cfRule>
    <cfRule type="expression" priority="3" dxfId="1">
      <formula>ISNUMBER(SEARCH("faltam",$I8))</formula>
    </cfRule>
  </conditionalFormatting>
  <conditionalFormatting sqref="N8:N50">
    <cfRule type="dataBar" priority="4">
      <dataBar>
        <cfvo type="num" val="0"/>
        <cfvo type="num" val="1"/>
        <color rgb="008C9A7B"/>
      </dataBar>
    </cfRule>
  </conditionalFormatting>
  <dataValidations count="2">
    <dataValidation sqref="D8:D200" showDropDown="0" showInputMessage="0" showErrorMessage="0" allowBlank="1" type="list">
      <formula1>"Essencial,Desejável"</formula1>
    </dataValidation>
    <dataValidation sqref="A8:A200" showDropDown="0" showInputMessage="0" showErrorMessage="0" allowBlank="1" type="list">
      <formula1>"Roupas,Higiene e Banho,Quarto e Mobiliário,Amamentação e Alimentação,Passeio e Transporte,Saúde e Primeiros Socorros"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A056"/>
    <outlinePr summaryBelow="1" summaryRight="1"/>
    <pageSetUpPr/>
  </sheetPr>
  <dimension ref="A1:D2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6" customWidth="1" min="4" max="4"/>
  </cols>
  <sheetData>
    <row r="1" ht="26" customHeight="1">
      <c r="B1" s="1" t="inlineStr">
        <is>
          <t>Mala Maternidade</t>
        </is>
      </c>
    </row>
    <row r="2" ht="16" customHeight="1">
      <c r="B2" s="2" t="inlineStr">
        <is>
          <t>Checklist do que precisa estar na mala até a 36ª semana.</t>
        </is>
      </c>
    </row>
    <row r="3" ht="6" customHeight="1"/>
    <row r="4">
      <c r="A4" s="3" t="inlineStr">
        <is>
          <t>% MALA PRONTA</t>
        </is>
      </c>
    </row>
    <row r="5">
      <c r="A5" s="6">
        <f>(COUNTIF(C9:C12,TRUE)+COUNTIF(C14:C18,TRUE)+COUNTIF(C20:C22,TRUE))/(COUNTA(B9:B12)+COUNTA(B14:B18)+COUNTA(B20:B22))</f>
        <v/>
      </c>
    </row>
    <row r="7" ht="20" customHeight="1">
      <c r="A7" s="10" t="inlineStr">
        <is>
          <t>Categoria</t>
        </is>
      </c>
      <c r="B7" s="10" t="inlineStr">
        <is>
          <t>Item</t>
        </is>
      </c>
      <c r="C7" s="10" t="inlineStr">
        <is>
          <t>Marcado</t>
        </is>
      </c>
      <c r="D7" s="10" t="inlineStr">
        <is>
          <t>Observações</t>
        </is>
      </c>
    </row>
    <row r="8" ht="20" customHeight="1">
      <c r="B8" s="9" t="inlineStr">
        <is>
          <t>Mamãe</t>
        </is>
      </c>
    </row>
    <row r="9">
      <c r="A9" s="11" t="inlineStr">
        <is>
          <t>Mamãe</t>
        </is>
      </c>
      <c r="B9" s="11" t="inlineStr">
        <is>
          <t>Roupa para internação</t>
        </is>
      </c>
      <c r="C9" s="19" t="b">
        <v>0</v>
      </c>
      <c r="D9" s="11" t="n"/>
    </row>
    <row r="10">
      <c r="A10" s="13" t="inlineStr">
        <is>
          <t>Mamãe</t>
        </is>
      </c>
      <c r="B10" s="13" t="inlineStr">
        <is>
          <t>Roupa para alta</t>
        </is>
      </c>
      <c r="C10" s="16" t="b">
        <v>0</v>
      </c>
      <c r="D10" s="13" t="n"/>
    </row>
    <row r="11">
      <c r="A11" s="11" t="inlineStr">
        <is>
          <t>Mamãe</t>
        </is>
      </c>
      <c r="B11" s="11" t="inlineStr">
        <is>
          <t>Produtos de higiene pessoal</t>
        </is>
      </c>
      <c r="C11" s="19" t="b">
        <v>1</v>
      </c>
      <c r="D11" s="11" t="n"/>
    </row>
    <row r="12">
      <c r="A12" s="13" t="inlineStr">
        <is>
          <t>Mamãe</t>
        </is>
      </c>
      <c r="B12" s="13" t="inlineStr">
        <is>
          <t>Documentos pessoais e do plano</t>
        </is>
      </c>
      <c r="C12" s="16" t="b">
        <v>1</v>
      </c>
      <c r="D12" s="13" t="n"/>
    </row>
    <row r="13" ht="20" customHeight="1">
      <c r="B13" s="9" t="inlineStr">
        <is>
          <t>Bebê</t>
        </is>
      </c>
    </row>
    <row r="14">
      <c r="A14" s="13" t="inlineStr">
        <is>
          <t>Bebê</t>
        </is>
      </c>
      <c r="B14" s="13" t="inlineStr">
        <is>
          <t>Body e macacão para alta</t>
        </is>
      </c>
      <c r="C14" s="16" t="b">
        <v>0</v>
      </c>
      <c r="D14" s="13" t="n"/>
    </row>
    <row r="15">
      <c r="A15" s="11" t="inlineStr">
        <is>
          <t>Bebê</t>
        </is>
      </c>
      <c r="B15" s="11" t="inlineStr">
        <is>
          <t>Manta</t>
        </is>
      </c>
      <c r="C15" s="19" t="b">
        <v>1</v>
      </c>
      <c r="D15" s="11" t="n"/>
    </row>
    <row r="16">
      <c r="A16" s="13" t="inlineStr">
        <is>
          <t>Bebê</t>
        </is>
      </c>
      <c r="B16" s="13" t="inlineStr">
        <is>
          <t>Fraldas (reserva pequena)</t>
        </is>
      </c>
      <c r="C16" s="16" t="b">
        <v>1</v>
      </c>
      <c r="D16" s="13" t="n"/>
    </row>
    <row r="17">
      <c r="A17" s="11" t="inlineStr">
        <is>
          <t>Bebê</t>
        </is>
      </c>
      <c r="B17" s="11" t="inlineStr">
        <is>
          <t>Touca e luvas</t>
        </is>
      </c>
      <c r="C17" s="19" t="b">
        <v>0</v>
      </c>
      <c r="D17" s="11" t="n"/>
    </row>
    <row r="18">
      <c r="A18" s="13" t="inlineStr">
        <is>
          <t>Bebê</t>
        </is>
      </c>
      <c r="B18" s="13" t="inlineStr">
        <is>
          <t>Saída de maternidade</t>
        </is>
      </c>
      <c r="C18" s="16" t="b">
        <v>0</v>
      </c>
      <c r="D18" s="13" t="n"/>
    </row>
    <row r="19" ht="20" customHeight="1">
      <c r="B19" s="9" t="inlineStr">
        <is>
          <t>Documentos</t>
        </is>
      </c>
    </row>
    <row r="20">
      <c r="A20" s="13" t="inlineStr">
        <is>
          <t>Documentos</t>
        </is>
      </c>
      <c r="B20" s="13" t="inlineStr">
        <is>
          <t>RG e CPF</t>
        </is>
      </c>
      <c r="C20" s="16" t="b">
        <v>1</v>
      </c>
      <c r="D20" s="13" t="n"/>
    </row>
    <row r="21">
      <c r="A21" s="11" t="inlineStr">
        <is>
          <t>Documentos</t>
        </is>
      </c>
      <c r="B21" s="11" t="inlineStr">
        <is>
          <t>Cartão do convênio</t>
        </is>
      </c>
      <c r="C21" s="19" t="b">
        <v>1</v>
      </c>
      <c r="D21" s="11" t="n"/>
    </row>
    <row r="22">
      <c r="A22" s="13" t="inlineStr">
        <is>
          <t>Documentos</t>
        </is>
      </c>
      <c r="B22" s="13" t="inlineStr">
        <is>
          <t>Carteira de pré-natal</t>
        </is>
      </c>
      <c r="C22" s="16" t="b">
        <v>1</v>
      </c>
      <c r="D22" s="13" t="n"/>
    </row>
  </sheetData>
  <mergeCells count="7">
    <mergeCell ref="A4:B4"/>
    <mergeCell ref="B19:D19"/>
    <mergeCell ref="B1:D1"/>
    <mergeCell ref="B8:D8"/>
    <mergeCell ref="A5:B5"/>
    <mergeCell ref="B13:D13"/>
    <mergeCell ref="B2:D2"/>
  </mergeCells>
  <conditionalFormatting sqref="C9:C22">
    <cfRule type="expression" priority="1" dxfId="0">
      <formula>$C9=TRUE</formula>
    </cfRule>
  </conditionalFormatting>
  <dataValidations count="1">
    <dataValidation sqref="C9:C12 C14:C18 C20:C22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7B5C"/>
    <outlinePr summaryBelow="1" summaryRight="1"/>
    <pageSetUpPr/>
  </sheetPr>
  <dimension ref="A1:N2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6" customWidth="1" min="6" max="6"/>
    <col width="14" customWidth="1" min="7" max="7"/>
    <col width="14" customWidth="1" min="8" max="8"/>
    <col width="14" customWidth="1" min="9" max="9"/>
  </cols>
  <sheetData>
    <row r="1" ht="26" customHeight="1">
      <c r="B1" s="1" t="inlineStr">
        <is>
          <t>Finanças</t>
        </is>
      </c>
    </row>
    <row r="2" ht="16" customHeight="1">
      <c r="B2" s="2" t="inlineStr">
        <is>
          <t>Orçamento total, gastos por categoria e fluxo de caixa.</t>
        </is>
      </c>
    </row>
    <row r="3" ht="6" customHeight="1"/>
    <row r="4">
      <c r="B4" s="3" t="inlineStr">
        <is>
          <t>ORÇAMENTO TOTAL</t>
        </is>
      </c>
      <c r="F4" s="3" t="inlineStr">
        <is>
          <t>GASTO TOTAL</t>
        </is>
      </c>
      <c r="J4" s="3" t="inlineStr">
        <is>
          <t>SALDO DISPONÍVEL</t>
        </is>
      </c>
    </row>
    <row r="5">
      <c r="B5" s="7">
        <f>SUM(B8:B12)</f>
        <v/>
      </c>
      <c r="F5" s="7">
        <f>SUM(C8:C12)</f>
        <v/>
      </c>
      <c r="J5" s="7">
        <f>SUM(D8:D12)</f>
        <v/>
      </c>
    </row>
    <row r="7" ht="20" customHeight="1">
      <c r="A7" s="10" t="inlineStr">
        <is>
          <t>Categoria</t>
        </is>
      </c>
      <c r="B7" s="10" t="inlineStr">
        <is>
          <t>Orçado</t>
        </is>
      </c>
      <c r="C7" s="10" t="inlineStr">
        <is>
          <t>Gasto real</t>
        </is>
      </c>
      <c r="D7" s="10" t="inlineStr">
        <is>
          <t>Saldo</t>
        </is>
      </c>
      <c r="E7" s="10" t="inlineStr">
        <is>
          <t>% usado</t>
        </is>
      </c>
    </row>
    <row r="8">
      <c r="A8" s="13" t="inlineStr">
        <is>
          <t>Enxoval</t>
        </is>
      </c>
      <c r="B8" s="14">
        <f>'_Engine'!B3</f>
        <v/>
      </c>
      <c r="C8" s="14">
        <f>'_Engine'!B4</f>
        <v/>
      </c>
      <c r="D8" s="14">
        <f>B8-C8</f>
        <v/>
      </c>
      <c r="E8" s="27">
        <f>IF(B8=0,0,C8/B8)</f>
        <v/>
      </c>
    </row>
    <row r="9">
      <c r="A9" s="11" t="inlineStr">
        <is>
          <t>Chá de bebê</t>
        </is>
      </c>
      <c r="B9" s="12">
        <f>'_Engine'!B7</f>
        <v/>
      </c>
      <c r="C9" s="12">
        <f>'_Engine'!B8</f>
        <v/>
      </c>
      <c r="D9" s="12">
        <f>B9-C9</f>
        <v/>
      </c>
      <c r="E9" s="28">
        <f>IF(B9=0,0,C9/B9)</f>
        <v/>
      </c>
    </row>
    <row r="10">
      <c r="A10" s="13" t="inlineStr">
        <is>
          <t>Saúde e consultas</t>
        </is>
      </c>
      <c r="B10" s="14" t="n">
        <v>0</v>
      </c>
      <c r="C10" s="14">
        <f>'_Engine'!B11</f>
        <v/>
      </c>
      <c r="D10" s="14">
        <f>B10-C10</f>
        <v/>
      </c>
      <c r="E10" s="27">
        <f>IF(B10=0,0,C10/B10)</f>
        <v/>
      </c>
    </row>
    <row r="11">
      <c r="A11" s="11" t="inlineStr">
        <is>
          <t>Hospital e parto</t>
        </is>
      </c>
      <c r="B11" s="12" t="n">
        <v>0</v>
      </c>
      <c r="C11" s="12" t="n">
        <v>0</v>
      </c>
      <c r="D11" s="12">
        <f>B11-C11</f>
        <v/>
      </c>
      <c r="E11" s="28">
        <f>IF(B11=0,0,C11/B11)</f>
        <v/>
      </c>
    </row>
    <row r="12">
      <c r="A12" s="13" t="inlineStr">
        <is>
          <t>Reserva para imprevistos</t>
        </is>
      </c>
      <c r="B12" s="14" t="n">
        <v>0</v>
      </c>
      <c r="C12" s="14" t="n">
        <v>0</v>
      </c>
      <c r="D12" s="14">
        <f>B12-C12</f>
        <v/>
      </c>
      <c r="E12" s="27">
        <f>IF(B12=0,0,C12/B12)</f>
        <v/>
      </c>
    </row>
    <row r="14" ht="20" customHeight="1">
      <c r="B14" s="9" t="inlineStr">
        <is>
          <t>Fluxo de caixa mensal (previsto)</t>
        </is>
      </c>
    </row>
    <row r="15" ht="20" customHeight="1">
      <c r="A15" s="10" t="inlineStr">
        <is>
          <t>Mês</t>
        </is>
      </c>
      <c r="B15" s="10" t="inlineStr">
        <is>
          <t>Entradas previstas</t>
        </is>
      </c>
      <c r="C15" s="10" t="inlineStr">
        <is>
          <t>Saídas previstas</t>
        </is>
      </c>
      <c r="D15" s="10" t="inlineStr">
        <is>
          <t>Saldo acumulado</t>
        </is>
      </c>
    </row>
    <row r="16">
      <c r="A16" s="13" t="inlineStr">
        <is>
          <t>Jun/26</t>
        </is>
      </c>
      <c r="B16" s="14" t="n">
        <v>1500</v>
      </c>
      <c r="C16" s="14" t="n">
        <v>1000</v>
      </c>
      <c r="D16" s="14">
        <f>B16-C16</f>
        <v/>
      </c>
    </row>
    <row r="17">
      <c r="A17" s="11" t="inlineStr">
        <is>
          <t>Jul/26</t>
        </is>
      </c>
      <c r="B17" s="12" t="n">
        <v>1500</v>
      </c>
      <c r="C17" s="12" t="n">
        <v>1000</v>
      </c>
      <c r="D17" s="12">
        <f>D16+B17-C17</f>
        <v/>
      </c>
    </row>
    <row r="18">
      <c r="A18" s="13" t="inlineStr">
        <is>
          <t>Ago/26</t>
        </is>
      </c>
      <c r="B18" s="14" t="n">
        <v>1500</v>
      </c>
      <c r="C18" s="14" t="n">
        <v>1000</v>
      </c>
      <c r="D18" s="14">
        <f>D17+B18-C18</f>
        <v/>
      </c>
    </row>
    <row r="19">
      <c r="A19" s="11" t="inlineStr">
        <is>
          <t>Set/26</t>
        </is>
      </c>
      <c r="B19" s="12" t="n">
        <v>1500</v>
      </c>
      <c r="C19" s="12" t="n">
        <v>1000</v>
      </c>
      <c r="D19" s="12">
        <f>D18+B19-C19</f>
        <v/>
      </c>
    </row>
    <row r="20">
      <c r="A20" s="13" t="inlineStr">
        <is>
          <t>Out/26</t>
        </is>
      </c>
      <c r="B20" s="14" t="n">
        <v>1500</v>
      </c>
      <c r="C20" s="14" t="n">
        <v>1000</v>
      </c>
      <c r="D20" s="14">
        <f>D19+B20-C20</f>
        <v/>
      </c>
    </row>
    <row r="21">
      <c r="A21" s="11" t="inlineStr">
        <is>
          <t>Nov/26</t>
        </is>
      </c>
      <c r="B21" s="12" t="n">
        <v>1500</v>
      </c>
      <c r="C21" s="12" t="n">
        <v>1000</v>
      </c>
      <c r="D21" s="12">
        <f>D20+B21-C21</f>
        <v/>
      </c>
    </row>
  </sheetData>
  <mergeCells count="9">
    <mergeCell ref="J5:L5"/>
    <mergeCell ref="B5:D5"/>
    <mergeCell ref="F5:H5"/>
    <mergeCell ref="B1:N1"/>
    <mergeCell ref="B4:D4"/>
    <mergeCell ref="F4:H4"/>
    <mergeCell ref="B14:I14"/>
    <mergeCell ref="J4:L4"/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97A6E"/>
    <outlinePr summaryBelow="1" summaryRight="1"/>
    <pageSetUpPr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 ht="26" customHeight="1">
      <c r="B1" s="1" t="inlineStr">
        <is>
          <t>Planner &amp; Decisões</t>
        </is>
      </c>
    </row>
    <row r="2" ht="16" customHeight="1">
      <c r="B2" s="2" t="inlineStr">
        <is>
          <t>Datas importantes, nomes em consideração e fornecedores.</t>
        </is>
      </c>
    </row>
    <row r="3" ht="6" customHeight="1"/>
    <row r="4" ht="20" customHeight="1">
      <c r="B4" s="9" t="inlineStr">
        <is>
          <t>Datas importantes</t>
        </is>
      </c>
    </row>
    <row r="5">
      <c r="A5" s="29" t="inlineStr">
        <is>
          <t>Data prevista do parto (DPP)</t>
        </is>
      </c>
      <c r="C5" s="30" t="n">
        <v>46280</v>
      </c>
    </row>
    <row r="7" ht="20" customHeight="1">
      <c r="B7" s="9" t="inlineStr">
        <is>
          <t>Nomes em consideração</t>
        </is>
      </c>
    </row>
    <row r="8" ht="20" customHeight="1">
      <c r="A8" s="10" t="inlineStr">
        <is>
          <t>Nome</t>
        </is>
      </c>
      <c r="B8" s="10" t="inlineStr">
        <is>
          <t>Significado</t>
        </is>
      </c>
      <c r="C8" s="10" t="inlineStr">
        <is>
          <t>Nota mamãe</t>
        </is>
      </c>
      <c r="D8" s="10" t="inlineStr">
        <is>
          <t>Nota papai</t>
        </is>
      </c>
      <c r="E8" s="10" t="inlineStr">
        <is>
          <t>Nota média</t>
        </is>
      </c>
    </row>
    <row r="9">
      <c r="A9" s="11" t="inlineStr">
        <is>
          <t>Helena</t>
        </is>
      </c>
      <c r="B9" s="11" t="inlineStr">
        <is>
          <t>Luz, brilhante</t>
        </is>
      </c>
      <c r="C9" s="19" t="n">
        <v>5</v>
      </c>
      <c r="D9" s="19" t="n">
        <v>4</v>
      </c>
      <c r="E9" s="31">
        <f>AVERAGE(C9:D9)</f>
        <v/>
      </c>
      <c r="F9" s="11" t="n"/>
    </row>
    <row r="10">
      <c r="A10" s="13" t="inlineStr">
        <is>
          <t>Valentina</t>
        </is>
      </c>
      <c r="B10" s="13" t="inlineStr">
        <is>
          <t>Forte, saudável</t>
        </is>
      </c>
      <c r="C10" s="16" t="n">
        <v>4</v>
      </c>
      <c r="D10" s="16" t="n">
        <v>4</v>
      </c>
      <c r="E10" s="32">
        <f>AVERAGE(C10:D10)</f>
        <v/>
      </c>
      <c r="F10" s="13" t="n"/>
    </row>
    <row r="11">
      <c r="A11" s="11" t="inlineStr">
        <is>
          <t>Sophia</t>
        </is>
      </c>
      <c r="B11" s="11" t="inlineStr">
        <is>
          <t>Sabedoria</t>
        </is>
      </c>
      <c r="C11" s="19" t="n">
        <v>3</v>
      </c>
      <c r="D11" s="19" t="n">
        <v>5</v>
      </c>
      <c r="E11" s="31">
        <f>AVERAGE(C11:D11)</f>
        <v/>
      </c>
      <c r="F11" s="11" t="n"/>
    </row>
    <row r="12">
      <c r="A12" s="13" t="inlineStr">
        <is>
          <t>Laura</t>
        </is>
      </c>
      <c r="B12" s="13" t="inlineStr">
        <is>
          <t>Coroa de louros</t>
        </is>
      </c>
      <c r="C12" s="16" t="n">
        <v>5</v>
      </c>
      <c r="D12" s="16" t="n">
        <v>3</v>
      </c>
      <c r="E12" s="32">
        <f>AVERAGE(C12:D12)</f>
        <v/>
      </c>
      <c r="F12" s="13" t="n"/>
    </row>
    <row r="13">
      <c r="A13" s="11" t="inlineStr">
        <is>
          <t>Alice</t>
        </is>
      </c>
      <c r="B13" s="11" t="inlineStr">
        <is>
          <t>Nobre, verdadeira</t>
        </is>
      </c>
      <c r="C13" s="19" t="n">
        <v>4</v>
      </c>
      <c r="D13" s="19" t="n">
        <v>4</v>
      </c>
      <c r="E13" s="31">
        <f>AVERAGE(C13:D13)</f>
        <v/>
      </c>
      <c r="F13" s="11" t="n"/>
    </row>
    <row r="15" ht="20" customHeight="1">
      <c r="B15" s="9" t="inlineStr">
        <is>
          <t>Fornecedores</t>
        </is>
      </c>
    </row>
    <row r="16" ht="20" customHeight="1">
      <c r="A16" s="10" t="inlineStr">
        <is>
          <t>Categoria</t>
        </is>
      </c>
      <c r="B16" s="10" t="inlineStr">
        <is>
          <t>Fornecedor</t>
        </is>
      </c>
      <c r="C16" s="10" t="inlineStr">
        <is>
          <t>Contato</t>
        </is>
      </c>
      <c r="D16" s="10" t="inlineStr">
        <is>
          <t>Status</t>
        </is>
      </c>
    </row>
    <row r="17">
      <c r="A17" s="11" t="inlineStr">
        <is>
          <t>Maternidade</t>
        </is>
      </c>
      <c r="B17" s="11" t="inlineStr">
        <is>
          <t>Hospital Vida Nova</t>
        </is>
      </c>
      <c r="C17" s="11" t="inlineStr">
        <is>
          <t>(67) 99999-1111</t>
        </is>
      </c>
      <c r="D17" s="19" t="inlineStr">
        <is>
          <t>Contratado</t>
        </is>
      </c>
      <c r="E17" s="11" t="n"/>
      <c r="F17" s="11" t="n"/>
    </row>
    <row r="18">
      <c r="A18" s="13" t="inlineStr">
        <is>
          <t>Fotógrafo newborn</t>
        </is>
      </c>
      <c r="B18" s="13" t="inlineStr">
        <is>
          <t>Click Estúdio</t>
        </is>
      </c>
      <c r="C18" s="13" t="inlineStr">
        <is>
          <t>(67) 99999-2222</t>
        </is>
      </c>
      <c r="D18" s="16" t="inlineStr">
        <is>
          <t>Em negociação</t>
        </is>
      </c>
      <c r="E18" s="13" t="n"/>
      <c r="F18" s="13" t="n"/>
    </row>
    <row r="19">
      <c r="A19" s="11" t="inlineStr">
        <is>
          <t>Doula</t>
        </is>
      </c>
      <c r="B19" s="11" t="inlineStr">
        <is>
          <t>Camila Ferreira</t>
        </is>
      </c>
      <c r="C19" s="11" t="inlineStr">
        <is>
          <t>(67) 99999-3333</t>
        </is>
      </c>
      <c r="D19" s="19" t="inlineStr">
        <is>
          <t>Contratado</t>
        </is>
      </c>
      <c r="E19" s="11" t="n"/>
      <c r="F19" s="11" t="n"/>
    </row>
    <row r="20">
      <c r="A20" s="13" t="inlineStr">
        <is>
          <t>Pediatra</t>
        </is>
      </c>
      <c r="B20" s="13" t="inlineStr">
        <is>
          <t>Dr. Felipe Rocha</t>
        </is>
      </c>
      <c r="C20" s="13" t="inlineStr">
        <is>
          <t>(67) 99999-4444</t>
        </is>
      </c>
      <c r="D20" s="16" t="inlineStr">
        <is>
          <t>Contratado</t>
        </is>
      </c>
      <c r="E20" s="13" t="n"/>
      <c r="F20" s="13" t="n"/>
    </row>
  </sheetData>
  <mergeCells count="5">
    <mergeCell ref="B4:F4"/>
    <mergeCell ref="B7:F7"/>
    <mergeCell ref="B2:F2"/>
    <mergeCell ref="B15:F15"/>
    <mergeCell ref="B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33" t="inlineStr">
        <is>
          <t>Indicador</t>
        </is>
      </c>
      <c r="B1" s="33" t="inlineStr">
        <is>
          <t>Valor</t>
        </is>
      </c>
    </row>
    <row r="2">
      <c r="A2" t="inlineStr">
        <is>
          <t>Enxoval_pctCompleto</t>
        </is>
      </c>
      <c r="B2">
        <f>'Enxoval Inteligente'!B5</f>
        <v/>
      </c>
    </row>
    <row r="3">
      <c r="A3" t="inlineStr">
        <is>
          <t>Enxoval_orcadoTotal</t>
        </is>
      </c>
      <c r="B3">
        <f>SUMPRODUCT('Enxoval Inteligente'!E8:E200,'Enxoval Inteligente'!J8:J200)</f>
        <v/>
      </c>
    </row>
    <row r="4">
      <c r="A4" t="inlineStr">
        <is>
          <t>Enxoval_gastoReal</t>
        </is>
      </c>
      <c r="B4">
        <f>SUMPRODUCT('Enxoval Inteligente'!F8:F200,'Enxoval Inteligente'!J8:J200)</f>
        <v/>
      </c>
    </row>
    <row r="5">
      <c r="A5" t="inlineStr">
        <is>
          <t>Enxoval_itensPendentes</t>
        </is>
      </c>
      <c r="B5">
        <f>'Enxoval Inteligente'!F5</f>
        <v/>
      </c>
    </row>
    <row r="6">
      <c r="A6" t="inlineStr">
        <is>
          <t>Cha_confirmados</t>
        </is>
      </c>
      <c r="B6">
        <f>'Planejamento de Chá'!A5</f>
        <v/>
      </c>
    </row>
    <row r="7">
      <c r="A7" t="inlineStr">
        <is>
          <t>Cha_orcadoTotal</t>
        </is>
      </c>
      <c r="B7">
        <f>'Planejamento de Chá'!C5</f>
        <v/>
      </c>
    </row>
    <row r="8">
      <c r="A8" t="inlineStr">
        <is>
          <t>Cha_gastoReal</t>
        </is>
      </c>
      <c r="B8">
        <f>'Planejamento de Chá'!E5</f>
        <v/>
      </c>
    </row>
    <row r="9">
      <c r="A9" t="inlineStr">
        <is>
          <t>Cha_tarefasPendentes</t>
        </is>
      </c>
      <c r="B9">
        <f>COUNTIF('Planejamento de Chá'!D20:D25,"Pendente")</f>
        <v/>
      </c>
    </row>
    <row r="10">
      <c r="A10" t="inlineStr">
        <is>
          <t>Consultas_proximaData</t>
        </is>
      </c>
      <c r="B10">
        <f>'Consultas &amp; Exames'!A5</f>
        <v/>
      </c>
    </row>
    <row r="11">
      <c r="A11" t="inlineStr">
        <is>
          <t>Consultas_gastoReal</t>
        </is>
      </c>
      <c r="B11">
        <f>'Consultas &amp; Exames'!E5</f>
        <v/>
      </c>
    </row>
    <row r="12">
      <c r="A12" t="inlineStr">
        <is>
          <t>Mala_pctCompleto</t>
        </is>
      </c>
      <c r="B12">
        <f>'Mala Maternidade'!A5</f>
        <v/>
      </c>
    </row>
    <row r="13">
      <c r="A13" t="inlineStr">
        <is>
          <t>Mala_itensPendentes</t>
        </is>
      </c>
      <c r="B13">
        <f>(COUNTA(B9:B12)+COUNTA(B14:B18)+COUNTA(B20:B22))-(COUNTIF(C9:C12,TRUE)+COUNTIF(C14:C18,TRUE)+COUNTIF(C20:C22,TRUE))</f>
        <v/>
      </c>
    </row>
    <row r="14">
      <c r="A14" t="inlineStr">
        <is>
          <t>DPP</t>
        </is>
      </c>
      <c r="B14">
        <f>'Planner &amp; Decisões'!C5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2026-06-19T19:37:38Z</dcterms:created>
  <dcterms:modified xmlns:dcterms="http://purl.org/dc/terms/" xmlns:xsi="http://www.w3.org/2001/XMLSchema-instance" xsi:type="dcterms:W3CDTF">2026-06-19T19:37:38Z</dcterms:modified>
</cp:coreProperties>
</file>